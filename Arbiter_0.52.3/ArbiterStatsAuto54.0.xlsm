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娱乐\Arbiter_0.52.3\"/>
    </mc:Choice>
  </mc:AlternateContent>
  <xr:revisionPtr revIDLastSave="0" documentId="13_ncr:1_{CB810B22-4919-41B5-8C8D-C4192E64E235}" xr6:coauthVersionLast="47" xr6:coauthVersionMax="47" xr10:uidLastSave="{00000000-0000-0000-0000-000000000000}"/>
  <bookViews>
    <workbookView xWindow="-103" yWindow="-103" windowWidth="22149" windowHeight="11829" tabRatio="852" firstSheet="1" activeTab="18" xr2:uid="{00000000-000D-0000-FFFF-FFFF00000000}"/>
  </bookViews>
  <sheets>
    <sheet name="Set" sheetId="4" r:id="rId1"/>
    <sheet name="win" sheetId="45" r:id="rId2"/>
    <sheet name="B.b" sheetId="49" r:id="rId3"/>
    <sheet name="B.i" sheetId="48" r:id="rId4"/>
    <sheet name="B.e" sheetId="47" r:id="rId5"/>
    <sheet name="week" sheetId="33" r:id="rId6"/>
    <sheet name="lsf" sheetId="40" r:id="rId7"/>
    <sheet name="Beg" sheetId="41" r:id="rId8"/>
    <sheet name="Int" sheetId="42" r:id="rId9"/>
    <sheet name="Exp" sheetId="43" r:id="rId10"/>
    <sheet name="Year" sheetId="44" r:id="rId11"/>
    <sheet name="rAvg" sheetId="39" r:id="rId12"/>
    <sheet name="yTop" sheetId="37" r:id="rId13"/>
    <sheet name="mTop" sheetId="46" r:id="rId14"/>
    <sheet name="Sub" sheetId="20" r:id="rId15"/>
    <sheet name="time" sheetId="21" r:id="rId16"/>
    <sheet name="bvs" sheetId="22" r:id="rId17"/>
    <sheet name="qg" sheetId="23" r:id="rId18"/>
    <sheet name="ces" sheetId="26" r:id="rId19"/>
    <sheet name="oth" sheetId="25" r:id="rId20"/>
    <sheet name="Bv" sheetId="29" r:id="rId21"/>
    <sheet name="GC" sheetId="30" r:id="rId22"/>
  </sheets>
  <functionGroups builtInGroupCount="19"/>
  <definedNames>
    <definedName name="_xlnm._FilterDatabase" localSheetId="0" hidden="1">Set!#REF!</definedName>
  </definedNames>
  <calcPr calcId="181029" calcMode="manual"/>
  <fileRecoveryPr autoRecover="0"/>
</workbook>
</file>

<file path=xl/calcChain.xml><?xml version="1.0" encoding="utf-8"?>
<calcChain xmlns="http://schemas.openxmlformats.org/spreadsheetml/2006/main">
  <c r="AO29" i="4" l="1"/>
  <c r="O45" i="30"/>
  <c r="X1" i="44"/>
  <c r="X1" i="43"/>
  <c r="X1" i="42"/>
  <c r="X1" i="41"/>
  <c r="P28" i="30"/>
  <c r="S28" i="30"/>
  <c r="Q28" i="30"/>
  <c r="P76" i="30"/>
  <c r="P77" i="30" s="1"/>
  <c r="Q76" i="30"/>
  <c r="Q77" i="30" s="1"/>
  <c r="R76" i="30"/>
  <c r="R77" i="30" s="1"/>
  <c r="S76" i="30"/>
  <c r="T76" i="30"/>
  <c r="U76" i="30"/>
  <c r="U77" i="30" s="1"/>
  <c r="V76" i="30"/>
  <c r="V77" i="30" s="1"/>
  <c r="W76" i="30"/>
  <c r="W77" i="30" s="1"/>
  <c r="X76" i="30"/>
  <c r="X77" i="30" s="1"/>
  <c r="O76" i="30"/>
  <c r="O77" i="30" s="1"/>
  <c r="O78" i="30" s="1"/>
  <c r="P80" i="30"/>
  <c r="Q80" i="30"/>
  <c r="R80" i="30"/>
  <c r="S80" i="30"/>
  <c r="T80" i="30"/>
  <c r="U80" i="30"/>
  <c r="V80" i="30"/>
  <c r="W80" i="30"/>
  <c r="X80" i="30"/>
  <c r="O80" i="30"/>
  <c r="P74" i="30"/>
  <c r="Q74" i="30"/>
  <c r="R74" i="30"/>
  <c r="S74" i="30"/>
  <c r="T74" i="30"/>
  <c r="U74" i="30"/>
  <c r="V74" i="30"/>
  <c r="W74" i="30"/>
  <c r="X74" i="30"/>
  <c r="O74" i="30"/>
  <c r="X28" i="30"/>
  <c r="Y26" i="30"/>
  <c r="Y27" i="30"/>
  <c r="Y25" i="30"/>
  <c r="AN31" i="4"/>
  <c r="AO30" i="4" s="1"/>
  <c r="O28" i="30"/>
  <c r="AF140" i="30"/>
  <c r="AF139" i="30"/>
  <c r="AD140" i="30"/>
  <c r="AD139" i="30"/>
  <c r="AC140" i="30"/>
  <c r="AC139" i="30"/>
  <c r="AB144" i="30"/>
  <c r="AC144" i="30"/>
  <c r="AD144" i="30"/>
  <c r="AE144" i="30"/>
  <c r="AF144" i="30"/>
  <c r="AA144" i="30"/>
  <c r="AA143" i="30"/>
  <c r="AD143" i="30"/>
  <c r="AB143" i="30"/>
  <c r="AE143" i="30"/>
  <c r="AC143" i="30"/>
  <c r="AF143" i="30"/>
  <c r="AD138" i="30"/>
  <c r="AC138" i="30"/>
  <c r="AF138" i="30"/>
  <c r="AE140" i="30"/>
  <c r="AE139" i="30"/>
  <c r="AB140" i="30"/>
  <c r="AB139" i="30"/>
  <c r="AE138" i="30"/>
  <c r="AB138" i="30"/>
  <c r="AI144" i="30"/>
  <c r="AI143" i="30"/>
  <c r="AH144" i="30"/>
  <c r="AH143" i="30"/>
  <c r="AA140" i="30"/>
  <c r="AA139" i="30"/>
  <c r="AA138" i="30"/>
  <c r="AG144" i="30"/>
  <c r="AG143" i="30"/>
  <c r="AI140" i="30"/>
  <c r="AI139" i="30"/>
  <c r="AH140" i="30"/>
  <c r="AH139" i="30"/>
  <c r="AI138" i="30"/>
  <c r="AH138" i="30"/>
  <c r="AG140" i="30"/>
  <c r="AG138" i="30"/>
  <c r="AG139" i="30"/>
  <c r="W44" i="30"/>
  <c r="W43" i="30"/>
  <c r="Q45" i="30"/>
  <c r="Q44" i="30"/>
  <c r="Q43" i="30"/>
  <c r="P81" i="30"/>
  <c r="Q81" i="30"/>
  <c r="R81" i="30"/>
  <c r="S81" i="30"/>
  <c r="T81" i="30"/>
  <c r="U81" i="30"/>
  <c r="V81" i="30"/>
  <c r="W81" i="30"/>
  <c r="X81" i="30"/>
  <c r="O81" i="30"/>
  <c r="AF41" i="30" s="1"/>
  <c r="AO27" i="4"/>
  <c r="AO28" i="4"/>
  <c r="AO26" i="4"/>
  <c r="AC40" i="30"/>
  <c r="AC39" i="30"/>
  <c r="AC38" i="30"/>
  <c r="AE40" i="30"/>
  <c r="AE39" i="30"/>
  <c r="AE38" i="30"/>
  <c r="AD40" i="30"/>
  <c r="AD39" i="30"/>
  <c r="AD38" i="30"/>
  <c r="AB40" i="30"/>
  <c r="AB39" i="30"/>
  <c r="AB38" i="30"/>
  <c r="AJ22" i="4"/>
  <c r="AJ24" i="4"/>
  <c r="AK24" i="4" s="1"/>
  <c r="AJ21" i="4"/>
  <c r="AK21" i="4" s="1"/>
  <c r="AJ18" i="4"/>
  <c r="AK18" i="4" s="1"/>
  <c r="AJ23" i="4"/>
  <c r="AK23" i="4" s="1"/>
  <c r="AJ20" i="4"/>
  <c r="AK20" i="4" s="1"/>
  <c r="AJ17" i="4"/>
  <c r="AK17" i="4" s="1"/>
  <c r="AJ16" i="4"/>
  <c r="AK16" i="4" s="1"/>
  <c r="AJ19" i="4"/>
  <c r="AK19" i="4" s="1"/>
  <c r="E1" i="45"/>
  <c r="I1" i="45" s="1"/>
  <c r="D1" i="45"/>
  <c r="Q1" i="45" s="1"/>
  <c r="AH106" i="30"/>
  <c r="AE106" i="30"/>
  <c r="AB106" i="30"/>
  <c r="AF37" i="30"/>
  <c r="AC35" i="4"/>
  <c r="AF38" i="30" s="1"/>
  <c r="AK27" i="4"/>
  <c r="O44" i="30" s="1"/>
  <c r="AK28" i="4"/>
  <c r="P45" i="30" s="1"/>
  <c r="AG105" i="30"/>
  <c r="AI105" i="30" s="1"/>
  <c r="AG104" i="30"/>
  <c r="AI104" i="30" s="1"/>
  <c r="AG103" i="30"/>
  <c r="AI103" i="30" s="1"/>
  <c r="AG102" i="30"/>
  <c r="AI102" i="30" s="1"/>
  <c r="AG101" i="30"/>
  <c r="AI101" i="30" s="1"/>
  <c r="AG100" i="30"/>
  <c r="AI100" i="30" s="1"/>
  <c r="AG99" i="30"/>
  <c r="AD105" i="30"/>
  <c r="AF105" i="30" s="1"/>
  <c r="AD104" i="30"/>
  <c r="AF104" i="30" s="1"/>
  <c r="AD103" i="30"/>
  <c r="AF103" i="30" s="1"/>
  <c r="AD102" i="30"/>
  <c r="AF102" i="30" s="1"/>
  <c r="AD101" i="30"/>
  <c r="AF101" i="30" s="1"/>
  <c r="AD100" i="30"/>
  <c r="AF100" i="30" s="1"/>
  <c r="AD99" i="30"/>
  <c r="AA99" i="30"/>
  <c r="AC99" i="30" s="1"/>
  <c r="AA100" i="30"/>
  <c r="AC100" i="30" s="1"/>
  <c r="AA101" i="30"/>
  <c r="AC101" i="30" s="1"/>
  <c r="AA102" i="30"/>
  <c r="AC102" i="30" s="1"/>
  <c r="AA103" i="30"/>
  <c r="AC103" i="30" s="1"/>
  <c r="AA104" i="30"/>
  <c r="AC104" i="30" s="1"/>
  <c r="AF44" i="30"/>
  <c r="AA1" i="22"/>
  <c r="N1" i="22"/>
  <c r="AF42" i="30" l="1"/>
  <c r="U43" i="30"/>
  <c r="V43" i="30"/>
  <c r="X43" i="30" s="1"/>
  <c r="O43" i="30"/>
  <c r="P43" i="30"/>
  <c r="P44" i="30"/>
  <c r="S44" i="30" s="1"/>
  <c r="U44" i="30"/>
  <c r="V44" i="30"/>
  <c r="S45" i="30"/>
  <c r="R45" i="30"/>
  <c r="T77" i="30"/>
  <c r="O82" i="30"/>
  <c r="P82" i="30" s="1"/>
  <c r="Q82" i="30" s="1"/>
  <c r="R82" i="30" s="1"/>
  <c r="S82" i="30" s="1"/>
  <c r="T82" i="30" s="1"/>
  <c r="U82" i="30" s="1"/>
  <c r="V82" i="30" s="1"/>
  <c r="W82" i="30" s="1"/>
  <c r="X82" i="30" s="1"/>
  <c r="S77" i="30"/>
  <c r="V1" i="45"/>
  <c r="Z1" i="45"/>
  <c r="Z40" i="30"/>
  <c r="H1" i="45"/>
  <c r="M1" i="45"/>
  <c r="AA39" i="30"/>
  <c r="Z39" i="30"/>
  <c r="Z38" i="30"/>
  <c r="AA38" i="30"/>
  <c r="AA40" i="30"/>
  <c r="P78" i="30"/>
  <c r="Q78" i="30" s="1"/>
  <c r="R78" i="30" s="1"/>
  <c r="AG106" i="30"/>
  <c r="AA106" i="30"/>
  <c r="N1" i="45"/>
  <c r="R1" i="45"/>
  <c r="W1" i="45"/>
  <c r="AA1" i="45"/>
  <c r="AD106" i="30"/>
  <c r="AF99" i="30"/>
  <c r="AI99" i="30"/>
  <c r="S43" i="30" l="1"/>
  <c r="X44" i="30"/>
  <c r="Y44" i="30"/>
  <c r="Y43" i="30"/>
  <c r="R43" i="30"/>
  <c r="R44" i="30"/>
  <c r="S78" i="30"/>
  <c r="T78" i="30" s="1"/>
  <c r="U78" i="30" s="1"/>
  <c r="V78" i="30" s="1"/>
  <c r="W78" i="30" s="1"/>
  <c r="X78" i="30" s="1"/>
  <c r="AF45" i="30"/>
  <c r="K1" i="29"/>
  <c r="U1" i="29" s="1"/>
  <c r="A1" i="22"/>
  <c r="A1" i="23" l="1"/>
  <c r="N1" i="23" s="1"/>
  <c r="AA1" i="23" l="1"/>
  <c r="AD98" i="30" l="1"/>
  <c r="AA98" i="30"/>
  <c r="AG98" i="30"/>
  <c r="AB3" i="4" l="1"/>
  <c r="AK1" i="30" l="1"/>
  <c r="AL1" i="30"/>
  <c r="AM1" i="30"/>
  <c r="AN1" i="30"/>
  <c r="AO1" i="30"/>
  <c r="AF43" i="30" l="1"/>
</calcChain>
</file>

<file path=xl/sharedStrings.xml><?xml version="1.0" encoding="utf-8"?>
<sst xmlns="http://schemas.openxmlformats.org/spreadsheetml/2006/main" count="3263" uniqueCount="842">
  <si>
    <t>3bv/s</t>
    <phoneticPr fontId="1" type="noConversion"/>
  </si>
  <si>
    <t>R</t>
    <phoneticPr fontId="1" type="noConversion"/>
  </si>
  <si>
    <t>Corr</t>
    <phoneticPr fontId="1" type="noConversion"/>
  </si>
  <si>
    <t>Thrp</t>
    <phoneticPr fontId="1" type="noConversion"/>
  </si>
  <si>
    <t>Time</t>
    <phoneticPr fontId="1" type="noConversion"/>
  </si>
  <si>
    <t>Match</t>
    <phoneticPr fontId="1" type="noConversion"/>
  </si>
  <si>
    <t>Path</t>
    <phoneticPr fontId="1" type="noConversion"/>
  </si>
  <si>
    <t>Time</t>
    <phoneticPr fontId="1" type="noConversion"/>
  </si>
  <si>
    <t>Cl/s</t>
    <phoneticPr fontId="1" type="noConversion"/>
  </si>
  <si>
    <t>Ce/s</t>
    <phoneticPr fontId="1" type="noConversion"/>
  </si>
  <si>
    <t>STNB</t>
    <phoneticPr fontId="1" type="noConversion"/>
  </si>
  <si>
    <t>Ce/s</t>
    <phoneticPr fontId="1" type="noConversion"/>
  </si>
  <si>
    <t>Time</t>
    <phoneticPr fontId="1" type="noConversion"/>
  </si>
  <si>
    <t>Corr</t>
    <phoneticPr fontId="1" type="noConversion"/>
  </si>
  <si>
    <t>Thrp</t>
    <phoneticPr fontId="1" type="noConversion"/>
  </si>
  <si>
    <t>R</t>
    <phoneticPr fontId="1" type="noConversion"/>
  </si>
  <si>
    <t>N</t>
    <phoneticPr fontId="1" type="noConversion"/>
  </si>
  <si>
    <t>SSR</t>
    <phoneticPr fontId="1" type="noConversion"/>
  </si>
  <si>
    <t>SR</t>
    <phoneticPr fontId="1" type="noConversion"/>
  </si>
  <si>
    <t>6th</t>
    <phoneticPr fontId="1" type="noConversion"/>
  </si>
  <si>
    <t>7th</t>
  </si>
  <si>
    <t>8th</t>
  </si>
  <si>
    <t>9th</t>
  </si>
  <si>
    <t>10th</t>
  </si>
  <si>
    <t>1st</t>
    <phoneticPr fontId="1" type="noConversion"/>
  </si>
  <si>
    <t>2nd</t>
    <phoneticPr fontId="1" type="noConversion"/>
  </si>
  <si>
    <t>3rd</t>
    <phoneticPr fontId="1" type="noConversion"/>
  </si>
  <si>
    <t>4th</t>
    <phoneticPr fontId="1" type="noConversion"/>
  </si>
  <si>
    <t>xx0</t>
    <phoneticPr fontId="1" type="noConversion"/>
  </si>
  <si>
    <t>xx1</t>
    <phoneticPr fontId="1" type="noConversion"/>
  </si>
  <si>
    <t>xx2</t>
  </si>
  <si>
    <t>xx3</t>
  </si>
  <si>
    <t>xx4</t>
  </si>
  <si>
    <t>xx5</t>
  </si>
  <si>
    <t>xx6</t>
  </si>
  <si>
    <t>xx7</t>
  </si>
  <si>
    <t>xx8</t>
  </si>
  <si>
    <t>xx9</t>
  </si>
  <si>
    <t>5th</t>
    <phoneticPr fontId="1" type="noConversion"/>
  </si>
  <si>
    <t>7th</t>
    <phoneticPr fontId="1" type="noConversion"/>
  </si>
  <si>
    <t>8th</t>
    <phoneticPr fontId="1" type="noConversion"/>
  </si>
  <si>
    <t>9th</t>
    <phoneticPr fontId="1" type="noConversion"/>
  </si>
  <si>
    <t>T1</t>
    <phoneticPr fontId="1" type="noConversion"/>
  </si>
  <si>
    <t>N</t>
    <phoneticPr fontId="1" type="noConversion"/>
  </si>
  <si>
    <t>4SR</t>
  </si>
  <si>
    <t>3SR</t>
  </si>
  <si>
    <t>3SR</t>
    <phoneticPr fontId="1" type="noConversion"/>
  </si>
  <si>
    <t>4SR</t>
    <phoneticPr fontId="1" type="noConversion"/>
  </si>
  <si>
    <t>5SR</t>
    <phoneticPr fontId="1" type="noConversion"/>
  </si>
  <si>
    <t>5SR</t>
  </si>
  <si>
    <t>Bv</t>
    <phoneticPr fontId="1" type="noConversion"/>
  </si>
  <si>
    <t>Ce</t>
    <phoneticPr fontId="1" type="noConversion"/>
  </si>
  <si>
    <t>Bv</t>
    <phoneticPr fontId="1" type="noConversion"/>
  </si>
  <si>
    <t>T2</t>
    <phoneticPr fontId="1" type="noConversion"/>
  </si>
  <si>
    <t>T3</t>
    <phoneticPr fontId="1" type="noConversion"/>
  </si>
  <si>
    <t>Date</t>
    <phoneticPr fontId="1" type="noConversion"/>
  </si>
  <si>
    <t>Move</t>
    <phoneticPr fontId="1" type="noConversion"/>
  </si>
  <si>
    <t>Path</t>
    <phoneticPr fontId="1" type="noConversion"/>
  </si>
  <si>
    <t>R</t>
    <phoneticPr fontId="1" type="noConversion"/>
  </si>
  <si>
    <t>IOE</t>
    <phoneticPr fontId="1" type="noConversion"/>
  </si>
  <si>
    <t>R</t>
    <phoneticPr fontId="1" type="noConversion"/>
  </si>
  <si>
    <t>BT.5</t>
    <phoneticPr fontId="1" type="noConversion"/>
  </si>
  <si>
    <t>IT.5</t>
    <phoneticPr fontId="1" type="noConversion"/>
  </si>
  <si>
    <t>ET.5</t>
    <phoneticPr fontId="1" type="noConversion"/>
  </si>
  <si>
    <t>BB.5</t>
    <phoneticPr fontId="1" type="noConversion"/>
  </si>
  <si>
    <t>IB.5</t>
    <phoneticPr fontId="1" type="noConversion"/>
  </si>
  <si>
    <t>EB.5</t>
    <phoneticPr fontId="1" type="noConversion"/>
  </si>
  <si>
    <t>BS.5</t>
    <phoneticPr fontId="1" type="noConversion"/>
  </si>
  <si>
    <t>IS.5</t>
    <phoneticPr fontId="1" type="noConversion"/>
  </si>
  <si>
    <t>ES.5</t>
    <phoneticPr fontId="1" type="noConversion"/>
  </si>
  <si>
    <t>ce/s</t>
    <phoneticPr fontId="1" type="noConversion"/>
  </si>
  <si>
    <t>cl/s</t>
    <phoneticPr fontId="1" type="noConversion"/>
  </si>
  <si>
    <t>game</t>
    <phoneticPr fontId="1" type="noConversion"/>
  </si>
  <si>
    <t>op</t>
    <phoneticPr fontId="1" type="noConversion"/>
  </si>
  <si>
    <t>is</t>
    <phoneticPr fontId="1" type="noConversion"/>
  </si>
  <si>
    <t>path</t>
    <phoneticPr fontId="1" type="noConversion"/>
  </si>
  <si>
    <t>corr</t>
    <phoneticPr fontId="1" type="noConversion"/>
  </si>
  <si>
    <t>thrp</t>
    <phoneticPr fontId="1" type="noConversion"/>
  </si>
  <si>
    <t>150~196</t>
    <phoneticPr fontId="1" type="noConversion"/>
  </si>
  <si>
    <t>30~36,99~109</t>
    <phoneticPr fontId="1" type="noConversion"/>
  </si>
  <si>
    <t>37~46,83~98</t>
    <phoneticPr fontId="1" type="noConversion"/>
  </si>
  <si>
    <t>47~82</t>
    <phoneticPr fontId="1" type="noConversion"/>
  </si>
  <si>
    <t>7~28</t>
    <phoneticPr fontId="1" type="noConversion"/>
  </si>
  <si>
    <t>48,51</t>
    <phoneticPr fontId="1" type="noConversion"/>
  </si>
  <si>
    <t>128~149,197~222</t>
    <phoneticPr fontId="1" type="noConversion"/>
  </si>
  <si>
    <t>105~114,241~254</t>
    <phoneticPr fontId="1" type="noConversion"/>
  </si>
  <si>
    <t>115~127,223~240</t>
    <phoneticPr fontId="1" type="noConversion"/>
  </si>
  <si>
    <t>date</t>
    <phoneticPr fontId="1" type="noConversion"/>
  </si>
  <si>
    <t>f2</t>
    <phoneticPr fontId="1" type="noConversion"/>
  </si>
  <si>
    <t>blast</t>
    <phoneticPr fontId="1" type="noConversion"/>
  </si>
  <si>
    <t>win</t>
    <phoneticPr fontId="1" type="noConversion"/>
  </si>
  <si>
    <t>NT20.5</t>
    <phoneticPr fontId="1" type="noConversion"/>
  </si>
  <si>
    <t>OpIs</t>
    <phoneticPr fontId="1" type="noConversion"/>
  </si>
  <si>
    <t>ratio</t>
    <phoneticPr fontId="1" type="noConversion"/>
  </si>
  <si>
    <t>time</t>
    <phoneticPr fontId="1" type="noConversion"/>
  </si>
  <si>
    <t>bvs</t>
    <phoneticPr fontId="1" type="noConversion"/>
  </si>
  <si>
    <t>pb</t>
    <phoneticPr fontId="1" type="noConversion"/>
  </si>
  <si>
    <t>p2</t>
    <phoneticPr fontId="1" type="noConversion"/>
  </si>
  <si>
    <t>p3</t>
    <phoneticPr fontId="1" type="noConversion"/>
  </si>
  <si>
    <t>stnb</t>
    <phoneticPr fontId="1" type="noConversion"/>
  </si>
  <si>
    <t>bv</t>
    <phoneticPr fontId="1" type="noConversion"/>
  </si>
  <si>
    <t>g/d</t>
    <phoneticPr fontId="1" type="noConversion"/>
  </si>
  <si>
    <t>min</t>
    <phoneticPr fontId="1" type="noConversion"/>
  </si>
  <si>
    <t>max</t>
    <phoneticPr fontId="1" type="noConversion"/>
  </si>
  <si>
    <t>Date</t>
    <phoneticPr fontId="1" type="noConversion"/>
  </si>
  <si>
    <t>bv/s</t>
    <phoneticPr fontId="1" type="noConversion"/>
  </si>
  <si>
    <t>t37</t>
    <phoneticPr fontId="1" type="noConversion"/>
  </si>
  <si>
    <t>ppp</t>
    <phoneticPr fontId="1" type="noConversion"/>
  </si>
  <si>
    <t>total</t>
    <phoneticPr fontId="1" type="noConversion"/>
  </si>
  <si>
    <t>Base</t>
    <phoneticPr fontId="1" type="noConversion"/>
  </si>
  <si>
    <t>Date</t>
    <phoneticPr fontId="1" type="noConversion"/>
  </si>
  <si>
    <t>Date</t>
    <phoneticPr fontId="1" type="noConversion"/>
  </si>
  <si>
    <t>Style</t>
    <phoneticPr fontId="1" type="noConversion"/>
  </si>
  <si>
    <t>Year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</si>
  <si>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</si>
  <si>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</si>
  <si>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</si>
  <si>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</si>
  <si>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</si>
  <si>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</si>
  <si>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</si>
  <si>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</si>
  <si>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</si>
  <si>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</si>
  <si>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Range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</si>
  <si>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</si>
  <si>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</si>
  <si>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</si>
  <si>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avg.bv</t>
    <phoneticPr fontId="1" type="noConversion"/>
  </si>
  <si>
    <t>min</t>
    <phoneticPr fontId="1" type="noConversion"/>
  </si>
  <si>
    <t>max</t>
    <phoneticPr fontId="1" type="noConversion"/>
  </si>
  <si>
    <t>Week</t>
    <phoneticPr fontId="1" type="noConversion"/>
  </si>
  <si>
    <t>Gap</t>
    <phoneticPr fontId="1" type="noConversion"/>
  </si>
  <si>
    <t>et</t>
    <phoneticPr fontId="1" type="noConversion"/>
  </si>
  <si>
    <t>it</t>
    <phoneticPr fontId="1" type="noConversion"/>
  </si>
  <si>
    <t>bt</t>
    <phoneticPr fontId="1" type="noConversion"/>
  </si>
  <si>
    <t>bb</t>
    <phoneticPr fontId="1" type="noConversion"/>
  </si>
  <si>
    <t>ib</t>
    <phoneticPr fontId="1" type="noConversion"/>
  </si>
  <si>
    <t>eb</t>
    <phoneticPr fontId="1" type="noConversion"/>
  </si>
  <si>
    <t>es</t>
    <phoneticPr fontId="1" type="noConversion"/>
  </si>
  <si>
    <t>is</t>
    <phoneticPr fontId="1" type="noConversion"/>
  </si>
  <si>
    <t>bs</t>
    <phoneticPr fontId="1" type="noConversion"/>
  </si>
  <si>
    <t>Jun</t>
    <phoneticPr fontId="1" type="noConversion"/>
  </si>
  <si>
    <t>Jul</t>
    <phoneticPr fontId="1" type="noConversion"/>
  </si>
  <si>
    <t>Cate</t>
    <phoneticPr fontId="1" type="noConversion"/>
  </si>
  <si>
    <t>%</t>
    <phoneticPr fontId="1" type="noConversion"/>
  </si>
  <si>
    <t>Date</t>
    <phoneticPr fontId="1" type="noConversion"/>
  </si>
  <si>
    <t>Sub</t>
    <phoneticPr fontId="1" type="noConversion"/>
  </si>
  <si>
    <t>info</t>
    <phoneticPr fontId="1" type="noConversion"/>
  </si>
  <si>
    <t>date</t>
    <phoneticPr fontId="1" type="noConversion"/>
  </si>
  <si>
    <t>ces</t>
    <phoneticPr fontId="1" type="noConversion"/>
  </si>
  <si>
    <t>other</t>
    <phoneticPr fontId="1" type="noConversion"/>
  </si>
  <si>
    <t>ce</t>
    <phoneticPr fontId="1" type="noConversion"/>
  </si>
  <si>
    <t>mov</t>
    <phoneticPr fontId="1" type="noConversion"/>
  </si>
  <si>
    <t>path</t>
    <phoneticPr fontId="1" type="noConversion"/>
  </si>
  <si>
    <t>qg</t>
    <phoneticPr fontId="1" type="noConversion"/>
  </si>
  <si>
    <t>%</t>
  </si>
  <si>
    <t>t5</t>
    <phoneticPr fontId="1" type="noConversion"/>
  </si>
  <si>
    <t>t25</t>
    <phoneticPr fontId="1" type="noConversion"/>
  </si>
  <si>
    <t>Theory</t>
    <phoneticPr fontId="1" type="noConversion"/>
  </si>
  <si>
    <t>(26~29),110~118</t>
    <phoneticPr fontId="1" type="noConversion"/>
  </si>
  <si>
    <t>(22~25),119~127</t>
    <phoneticPr fontId="1" type="noConversion"/>
  </si>
  <si>
    <t>(89~95),268~278</t>
    <phoneticPr fontId="1" type="noConversion"/>
  </si>
  <si>
    <t>(19~21),128~134</t>
    <phoneticPr fontId="1" type="noConversion"/>
  </si>
  <si>
    <t>(83~88),279~288</t>
    <phoneticPr fontId="1" type="noConversion"/>
  </si>
  <si>
    <t>(96)~104,255~267</t>
    <phoneticPr fontId="1" type="noConversion"/>
  </si>
  <si>
    <t>(1),45,49,54</t>
    <phoneticPr fontId="1" type="noConversion"/>
  </si>
  <si>
    <t>(16~18),135~142</t>
    <phoneticPr fontId="1" type="noConversion"/>
  </si>
  <si>
    <t>(78~82),289~297</t>
    <phoneticPr fontId="1" type="noConversion"/>
  </si>
  <si>
    <t>6SR</t>
    <phoneticPr fontId="1" type="noConversion"/>
  </si>
  <si>
    <t>(72~77),298~306</t>
    <phoneticPr fontId="1" type="noConversion"/>
  </si>
  <si>
    <t>(67~71),307~314</t>
    <phoneticPr fontId="1" type="noConversion"/>
  </si>
  <si>
    <t>5,6,29~35</t>
    <phoneticPr fontId="1" type="noConversion"/>
  </si>
  <si>
    <t>3,4,36~41</t>
    <phoneticPr fontId="1" type="noConversion"/>
  </si>
  <si>
    <t>2,42~44,46,47</t>
    <phoneticPr fontId="1" type="noConversion"/>
  </si>
  <si>
    <t>(14,15),143~148</t>
    <phoneticPr fontId="1" type="noConversion"/>
  </si>
  <si>
    <t>(12,13),149~154</t>
    <phoneticPr fontId="1" type="noConversion"/>
  </si>
  <si>
    <t>(10,11),155~163</t>
    <phoneticPr fontId="1" type="noConversion"/>
  </si>
  <si>
    <t>(64~66),315~321</t>
    <phoneticPr fontId="1" type="noConversion"/>
  </si>
  <si>
    <t>(61~63),322~330</t>
    <phoneticPr fontId="1" type="noConversion"/>
  </si>
  <si>
    <t>(8,9),164~167</t>
    <phoneticPr fontId="1" type="noConversion"/>
  </si>
  <si>
    <t>(7),168~172</t>
    <phoneticPr fontId="1" type="noConversion"/>
  </si>
  <si>
    <t>B.int</t>
    <phoneticPr fontId="1" type="noConversion"/>
  </si>
  <si>
    <t>B.exp</t>
    <phoneticPr fontId="1" type="noConversion"/>
  </si>
  <si>
    <t>Week</t>
    <phoneticPr fontId="1" type="noConversion"/>
  </si>
  <si>
    <t>lsf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</si>
  <si>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</si>
  <si>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</si>
  <si>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</si>
  <si>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Year</t>
    <phoneticPr fontId="1" type="noConversion"/>
  </si>
  <si>
    <t>rAvg</t>
    <phoneticPr fontId="1" type="noConversion"/>
  </si>
  <si>
    <t>yTop</t>
    <phoneticPr fontId="1" type="noConversion"/>
  </si>
  <si>
    <t>mTop</t>
    <phoneticPr fontId="1" type="noConversion"/>
  </si>
  <si>
    <t>Sub</t>
    <phoneticPr fontId="1" type="noConversion"/>
  </si>
  <si>
    <t>Time</t>
    <phoneticPr fontId="1" type="noConversion"/>
  </si>
  <si>
    <t>Bvs</t>
    <phoneticPr fontId="1" type="noConversion"/>
  </si>
  <si>
    <t>QG</t>
    <phoneticPr fontId="1" type="noConversion"/>
  </si>
  <si>
    <t>Ces</t>
    <phoneticPr fontId="1" type="noConversion"/>
  </si>
  <si>
    <t>oth</t>
    <phoneticPr fontId="1" type="noConversion"/>
  </si>
  <si>
    <t>Bv</t>
    <phoneticPr fontId="1" type="noConversion"/>
  </si>
  <si>
    <t>B.beg</t>
    <phoneticPr fontId="1" type="noConversion"/>
  </si>
  <si>
    <t>max</t>
    <phoneticPr fontId="1" type="noConversion"/>
  </si>
  <si>
    <t>yTop</t>
    <phoneticPr fontId="1" type="noConversion"/>
  </si>
  <si>
    <t>ce</t>
    <phoneticPr fontId="1" type="noConversion"/>
  </si>
  <si>
    <t>%</t>
    <phoneticPr fontId="1" type="noConversion"/>
  </si>
  <si>
    <t>d</t>
    <phoneticPr fontId="1" type="noConversion"/>
  </si>
  <si>
    <t>g</t>
    <phoneticPr fontId="1" type="noConversion"/>
  </si>
  <si>
    <t>胜率分析</t>
    <phoneticPr fontId="1" type="noConversion"/>
  </si>
  <si>
    <t>无视风格</t>
    <phoneticPr fontId="1" type="noConversion"/>
  </si>
  <si>
    <t>炸图分布</t>
    <phoneticPr fontId="1" type="noConversion"/>
  </si>
  <si>
    <t>周T37</t>
    <phoneticPr fontId="1" type="noConversion"/>
  </si>
  <si>
    <t>梁山分</t>
    <phoneticPr fontId="1" type="noConversion"/>
  </si>
  <si>
    <t>月平均</t>
    <phoneticPr fontId="1" type="noConversion"/>
  </si>
  <si>
    <t>年平均</t>
    <phoneticPr fontId="1" type="noConversion"/>
  </si>
  <si>
    <t>区间平均</t>
    <phoneticPr fontId="1" type="noConversion"/>
  </si>
  <si>
    <t>年头部</t>
    <phoneticPr fontId="1" type="noConversion"/>
  </si>
  <si>
    <t>月头部</t>
    <phoneticPr fontId="1" type="noConversion"/>
  </si>
  <si>
    <t>Sub率</t>
    <phoneticPr fontId="1" type="noConversion"/>
  </si>
  <si>
    <t>头部</t>
    <phoneticPr fontId="1" type="noConversion"/>
  </si>
  <si>
    <t>点击移速</t>
    <phoneticPr fontId="1" type="noConversion"/>
  </si>
  <si>
    <t>杂项</t>
    <phoneticPr fontId="1" type="noConversion"/>
  </si>
  <si>
    <t>PB数据</t>
    <phoneticPr fontId="1" type="noConversion"/>
  </si>
  <si>
    <t>总览</t>
    <phoneticPr fontId="1" type="noConversion"/>
  </si>
  <si>
    <t>间隔</t>
    <phoneticPr fontId="1" type="noConversion"/>
  </si>
  <si>
    <t>类型</t>
    <phoneticPr fontId="1" type="noConversion"/>
  </si>
  <si>
    <t>系数</t>
    <phoneticPr fontId="1" type="noConversion"/>
  </si>
  <si>
    <t>常数</t>
    <phoneticPr fontId="1" type="noConversion"/>
  </si>
  <si>
    <t>配置</t>
    <phoneticPr fontId="1" type="noConversion"/>
  </si>
  <si>
    <t>date</t>
    <phoneticPr fontId="1" type="noConversion"/>
  </si>
  <si>
    <t>权重</t>
    <phoneticPr fontId="1" type="noConversion"/>
  </si>
  <si>
    <t>头部表现</t>
    <phoneticPr fontId="1" type="noConversion"/>
  </si>
  <si>
    <t>bs</t>
    <phoneticPr fontId="1" type="noConversion"/>
  </si>
  <si>
    <t>is</t>
    <phoneticPr fontId="1" type="noConversion"/>
  </si>
  <si>
    <t>es</t>
    <phoneticPr fontId="1" type="noConversion"/>
  </si>
  <si>
    <t>战力</t>
    <phoneticPr fontId="1" type="noConversion"/>
  </si>
  <si>
    <t>b.5</t>
    <phoneticPr fontId="1" type="noConversion"/>
  </si>
  <si>
    <t>i.5</t>
    <phoneticPr fontId="1" type="noConversion"/>
  </si>
  <si>
    <t>e.5</t>
    <phoneticPr fontId="1" type="noConversion"/>
  </si>
  <si>
    <t>day</t>
    <phoneticPr fontId="1" type="noConversion"/>
  </si>
  <si>
    <t>b</t>
    <phoneticPr fontId="1" type="noConversion"/>
  </si>
  <si>
    <t>Δbvs</t>
    <phoneticPr fontId="1" type="noConversion"/>
  </si>
  <si>
    <t>Bv</t>
    <phoneticPr fontId="1" type="noConversion"/>
  </si>
  <si>
    <t>pb/p2</t>
    <phoneticPr fontId="1" type="noConversion"/>
  </si>
  <si>
    <t>Hide</t>
    <phoneticPr fontId="1" type="noConversion"/>
  </si>
  <si>
    <t>LenW</t>
    <phoneticPr fontId="1" type="noConversion"/>
  </si>
  <si>
    <t>LenLsf</t>
    <phoneticPr fontId="1" type="noConversion"/>
  </si>
  <si>
    <t>begTitle</t>
    <phoneticPr fontId="1" type="noConversion"/>
  </si>
  <si>
    <t>intTitle</t>
    <phoneticPr fontId="1" type="noConversion"/>
  </si>
  <si>
    <t>expTitle</t>
    <phoneticPr fontId="1" type="noConversion"/>
  </si>
  <si>
    <t>GC</t>
    <phoneticPr fontId="1" type="noConversion"/>
  </si>
  <si>
    <t>1/破率</t>
    <phoneticPr fontId="1" type="noConversion"/>
  </si>
  <si>
    <t>min</t>
    <phoneticPr fontId="1" type="noConversion"/>
  </si>
  <si>
    <t>mSub</t>
    <phoneticPr fontId="1" type="noConversion"/>
  </si>
  <si>
    <t>170+</t>
  </si>
  <si>
    <t>180+</t>
  </si>
  <si>
    <t>190+</t>
  </si>
  <si>
    <t>200+</t>
  </si>
  <si>
    <t>210+</t>
  </si>
  <si>
    <t>220+</t>
  </si>
  <si>
    <t>40+</t>
    <phoneticPr fontId="1" type="noConversion"/>
  </si>
  <si>
    <t>60+</t>
  </si>
  <si>
    <t>70+</t>
  </si>
  <si>
    <t>80+</t>
  </si>
  <si>
    <t>90+</t>
  </si>
  <si>
    <t>100+</t>
  </si>
  <si>
    <t>10+</t>
    <phoneticPr fontId="1" type="noConversion"/>
  </si>
  <si>
    <t>20+</t>
    <phoneticPr fontId="1" type="noConversion"/>
  </si>
  <si>
    <t>30+</t>
    <phoneticPr fontId="1" type="noConversion"/>
  </si>
  <si>
    <t>130+</t>
    <phoneticPr fontId="1" type="noConversion"/>
  </si>
  <si>
    <t>140+</t>
    <phoneticPr fontId="1" type="noConversion"/>
  </si>
  <si>
    <t>150+</t>
  </si>
  <si>
    <t>160+</t>
  </si>
  <si>
    <t>50+</t>
  </si>
  <si>
    <t>100+</t>
    <phoneticPr fontId="1" type="noConversion"/>
  </si>
  <si>
    <t>2+</t>
    <phoneticPr fontId="1" type="noConversion"/>
  </si>
  <si>
    <t>初级</t>
    <phoneticPr fontId="1" type="noConversion"/>
  </si>
  <si>
    <t>中级</t>
    <phoneticPr fontId="1" type="noConversion"/>
  </si>
  <si>
    <t>高级</t>
    <phoneticPr fontId="1" type="noConversion"/>
  </si>
  <si>
    <t>10SR</t>
    <phoneticPr fontId="1" type="noConversion"/>
  </si>
  <si>
    <t>9SR</t>
    <phoneticPr fontId="1" type="noConversion"/>
  </si>
  <si>
    <t>Δskill*1000</t>
    <phoneticPr fontId="1" type="noConversion"/>
  </si>
  <si>
    <t>pp</t>
    <phoneticPr fontId="1" type="noConversion"/>
  </si>
  <si>
    <t>~Lsf up list~</t>
    <phoneticPr fontId="1" type="noConversion"/>
  </si>
  <si>
    <t>s2</t>
  </si>
  <si>
    <t>s3</t>
  </si>
  <si>
    <t>s1</t>
  </si>
  <si>
    <t>1st</t>
  </si>
  <si>
    <t>2nd</t>
  </si>
  <si>
    <t>3rd</t>
  </si>
  <si>
    <t>4th</t>
  </si>
  <si>
    <t>5th</t>
  </si>
  <si>
    <t>6th</t>
  </si>
  <si>
    <t>ASB</t>
    <phoneticPr fontId="1" type="noConversion"/>
  </si>
  <si>
    <t>stnb</t>
    <phoneticPr fontId="1" type="noConversion"/>
  </si>
  <si>
    <t>右</t>
    <phoneticPr fontId="1" type="noConversion"/>
  </si>
  <si>
    <t>时隔</t>
    <phoneticPr fontId="1" type="noConversion"/>
  </si>
  <si>
    <t>b.Top</t>
    <phoneticPr fontId="1" type="noConversion"/>
  </si>
  <si>
    <t>gate</t>
    <phoneticPr fontId="1" type="noConversion"/>
  </si>
  <si>
    <t>50+</t>
    <phoneticPr fontId="1" type="noConversion"/>
  </si>
  <si>
    <t>60+</t>
    <phoneticPr fontId="1" type="noConversion"/>
  </si>
  <si>
    <t>70+</t>
    <phoneticPr fontId="1" type="noConversion"/>
  </si>
  <si>
    <t>80+</t>
    <phoneticPr fontId="1" type="noConversion"/>
  </si>
  <si>
    <t>90+</t>
    <phoneticPr fontId="1" type="noConversion"/>
  </si>
  <si>
    <t>110+</t>
    <phoneticPr fontId="1" type="noConversion"/>
  </si>
  <si>
    <t>120+</t>
  </si>
  <si>
    <t>130+</t>
  </si>
  <si>
    <t>140+</t>
  </si>
  <si>
    <t>230+</t>
  </si>
  <si>
    <t>240+</t>
  </si>
  <si>
    <t>250+</t>
  </si>
  <si>
    <t>7SR</t>
    <phoneticPr fontId="1" type="noConversion"/>
  </si>
  <si>
    <t>8SR</t>
    <phoneticPr fontId="1" type="noConversion"/>
  </si>
  <si>
    <t>1000万~1亿</t>
    <phoneticPr fontId="1" type="noConversion"/>
  </si>
  <si>
    <t>1亿~10亿</t>
    <phoneticPr fontId="1" type="noConversion"/>
  </si>
  <si>
    <t>10亿~100亿</t>
    <phoneticPr fontId="1" type="noConversion"/>
  </si>
  <si>
    <t>100亿~0.1兆</t>
    <phoneticPr fontId="1" type="noConversion"/>
  </si>
  <si>
    <t>0.1兆~1兆</t>
    <phoneticPr fontId="1" type="noConversion"/>
  </si>
  <si>
    <t>1兆~10兆</t>
    <phoneticPr fontId="1" type="noConversion"/>
  </si>
  <si>
    <t>FTT</t>
    <phoneticPr fontId="1" type="noConversion"/>
  </si>
  <si>
    <t>赛季</t>
    <phoneticPr fontId="1" type="noConversion"/>
  </si>
  <si>
    <t>赛季长度</t>
    <phoneticPr fontId="1" type="noConversion"/>
  </si>
  <si>
    <t>赛季开启</t>
    <phoneticPr fontId="1" type="noConversion"/>
  </si>
  <si>
    <t>sum</t>
    <phoneticPr fontId="1" type="noConversion"/>
  </si>
  <si>
    <t>日期</t>
    <phoneticPr fontId="1" type="noConversion"/>
  </si>
  <si>
    <t>Δb</t>
    <phoneticPr fontId="1" type="noConversion"/>
  </si>
  <si>
    <t>Δskp</t>
    <phoneticPr fontId="1" type="noConversion"/>
  </si>
  <si>
    <t>Δt</t>
    <phoneticPr fontId="1" type="noConversion"/>
  </si>
  <si>
    <t>date</t>
    <phoneticPr fontId="1" type="noConversion"/>
  </si>
  <si>
    <t>bv</t>
    <phoneticPr fontId="1" type="noConversion"/>
  </si>
  <si>
    <t>t</t>
    <phoneticPr fontId="1" type="noConversion"/>
  </si>
  <si>
    <t>s</t>
    <phoneticPr fontId="1" type="noConversion"/>
  </si>
  <si>
    <t>bv</t>
    <phoneticPr fontId="1" type="noConversion"/>
  </si>
  <si>
    <t>t</t>
    <phoneticPr fontId="1" type="noConversion"/>
  </si>
  <si>
    <t>b</t>
    <phoneticPr fontId="1" type="noConversion"/>
  </si>
  <si>
    <t>s</t>
    <phoneticPr fontId="1" type="noConversion"/>
  </si>
  <si>
    <t>bp</t>
    <phoneticPr fontId="1" type="noConversion"/>
  </si>
  <si>
    <t>ip</t>
    <phoneticPr fontId="1" type="noConversion"/>
  </si>
  <si>
    <t>ep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</si>
  <si>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</si>
  <si>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</si>
  <si>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</si>
  <si>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10th</t>
    <phoneticPr fontId="1" type="noConversion"/>
  </si>
  <si>
    <t>NFNT</t>
    <phoneticPr fontId="1" type="noConversion"/>
  </si>
  <si>
    <t>vsNT</t>
    <phoneticPr fontId="1" type="noConversion"/>
  </si>
  <si>
    <t>重整化</t>
    <phoneticPr fontId="1" type="noConversion"/>
  </si>
  <si>
    <t>mT</t>
    <phoneticPr fontId="1" type="noConversion"/>
  </si>
  <si>
    <t>软</t>
    <phoneticPr fontId="1" type="noConversion"/>
  </si>
  <si>
    <t>硬</t>
    <phoneticPr fontId="1" type="noConversion"/>
  </si>
  <si>
    <t>战</t>
    <phoneticPr fontId="1" type="noConversion"/>
  </si>
  <si>
    <t>PR</t>
    <phoneticPr fontId="1" type="noConversion"/>
  </si>
  <si>
    <t>nf软</t>
    <phoneticPr fontId="1" type="noConversion"/>
  </si>
  <si>
    <t>nfPR</t>
    <phoneticPr fontId="1" type="noConversion"/>
  </si>
  <si>
    <t>移速</t>
    <phoneticPr fontId="1" type="noConversion"/>
  </si>
  <si>
    <t>s4</t>
    <phoneticPr fontId="1" type="noConversion"/>
  </si>
  <si>
    <t>典型时</t>
    <phoneticPr fontId="1" type="noConversion"/>
  </si>
  <si>
    <t>STT</t>
    <phoneticPr fontId="1" type="noConversion"/>
  </si>
  <si>
    <t>11SR</t>
  </si>
  <si>
    <t>12SR</t>
  </si>
  <si>
    <t>13SR</t>
  </si>
  <si>
    <t>14SR</t>
  </si>
  <si>
    <t>15SR</t>
  </si>
  <si>
    <t>10兆~100兆</t>
    <phoneticPr fontId="1" type="noConversion"/>
  </si>
  <si>
    <t>100兆~0.1京</t>
    <phoneticPr fontId="1" type="noConversion"/>
  </si>
  <si>
    <t>0.1京~1京</t>
    <phoneticPr fontId="1" type="noConversion"/>
  </si>
  <si>
    <t>1京~10京</t>
    <phoneticPr fontId="1" type="noConversion"/>
  </si>
  <si>
    <t>10京~100京</t>
    <phoneticPr fontId="1" type="noConversion"/>
  </si>
  <si>
    <t>bpp</t>
    <phoneticPr fontId="1" type="noConversion"/>
  </si>
  <si>
    <t>ipp</t>
    <phoneticPr fontId="1" type="noConversion"/>
  </si>
  <si>
    <t>epp</t>
    <phoneticPr fontId="1" type="noConversion"/>
  </si>
  <si>
    <t>ppp</t>
    <phoneticPr fontId="1" type="noConversion"/>
  </si>
  <si>
    <t>nf1</t>
    <phoneticPr fontId="1" type="noConversion"/>
  </si>
  <si>
    <t>nf5</t>
    <phoneticPr fontId="1" type="noConversion"/>
  </si>
  <si>
    <t>it</t>
    <phoneticPr fontId="1" type="noConversion"/>
  </si>
  <si>
    <t>ib</t>
    <phoneticPr fontId="1" type="noConversion"/>
  </si>
  <si>
    <t>is</t>
    <phoneticPr fontId="1" type="noConversion"/>
  </si>
  <si>
    <t>nf1</t>
  </si>
  <si>
    <t>nf5</t>
  </si>
  <si>
    <t>bb</t>
    <phoneticPr fontId="1" type="noConversion"/>
  </si>
  <si>
    <t>bt</t>
    <phoneticPr fontId="1" type="noConversion"/>
  </si>
  <si>
    <t>bs</t>
    <phoneticPr fontId="1" type="noConversion"/>
  </si>
  <si>
    <t>Top</t>
    <phoneticPr fontId="1" type="noConversion"/>
  </si>
  <si>
    <t>nfTop</t>
    <phoneticPr fontId="1" type="noConversion"/>
  </si>
  <si>
    <t>TopC</t>
    <phoneticPr fontId="1" type="noConversion"/>
  </si>
  <si>
    <t>r</t>
    <phoneticPr fontId="1" type="noConversion"/>
  </si>
  <si>
    <t>Set</t>
    <phoneticPr fontId="1" type="noConversion"/>
  </si>
  <si>
    <t>狗预测范围</t>
    <phoneticPr fontId="1" type="noConversion"/>
  </si>
  <si>
    <t>Version=54.0</t>
    <phoneticPr fontId="1" type="noConversion"/>
  </si>
  <si>
    <t>vol.</t>
    <phoneticPr fontId="1" type="noConversion"/>
  </si>
  <si>
    <t>s5</t>
    <phoneticPr fontId="1" type="noConversion"/>
  </si>
  <si>
    <t>S5标准</t>
    <phoneticPr fontId="1" type="noConversion"/>
  </si>
  <si>
    <t>梁山分[S5]</t>
    <phoneticPr fontId="1" type="noConversion"/>
  </si>
  <si>
    <t>2op 2is</t>
  </si>
  <si>
    <t>5op 10is</t>
  </si>
  <si>
    <t>11op 9is</t>
  </si>
  <si>
    <t>1op 5is</t>
  </si>
  <si>
    <t>3op 7is</t>
  </si>
  <si>
    <t>13op 10is</t>
  </si>
  <si>
    <t>1op 2is</t>
  </si>
  <si>
    <t>7op 10is</t>
  </si>
  <si>
    <t>12op 6is</t>
  </si>
  <si>
    <t>2op 3is</t>
  </si>
  <si>
    <t>5op 9is</t>
  </si>
  <si>
    <t>10op 13is</t>
  </si>
  <si>
    <t>5op 6is</t>
  </si>
  <si>
    <t>14op 14is</t>
  </si>
  <si>
    <t>1op 3is</t>
  </si>
  <si>
    <t>5op 8is</t>
  </si>
  <si>
    <t>16op 21is</t>
  </si>
  <si>
    <t>1op 1is</t>
  </si>
  <si>
    <t>2op 6is</t>
  </si>
  <si>
    <t>8op 5is</t>
  </si>
  <si>
    <t>14op 15is</t>
  </si>
  <si>
    <t>2op 4is</t>
  </si>
  <si>
    <t>6op 7is</t>
  </si>
  <si>
    <t>15op 14is</t>
  </si>
  <si>
    <t>6op 6is</t>
  </si>
  <si>
    <t>14op 13is</t>
  </si>
  <si>
    <t>4op 9is</t>
  </si>
  <si>
    <t>11op 12is</t>
  </si>
  <si>
    <t>1op 6is</t>
  </si>
  <si>
    <t>5op 13is</t>
  </si>
  <si>
    <t>17op 14is</t>
  </si>
  <si>
    <t>4op 6is</t>
  </si>
  <si>
    <t>4op 7is</t>
  </si>
  <si>
    <t>16op 14is</t>
  </si>
  <si>
    <t>3op 5is</t>
  </si>
  <si>
    <t>9op 9is</t>
  </si>
  <si>
    <t>6op 8is</t>
  </si>
  <si>
    <t>13op 13is</t>
  </si>
  <si>
    <t>15op 15is</t>
  </si>
  <si>
    <t>2op 5is</t>
  </si>
  <si>
    <t>6op 13is</t>
  </si>
  <si>
    <t>15op 13is</t>
  </si>
  <si>
    <t>2op 1is</t>
  </si>
  <si>
    <t>7op 7is</t>
  </si>
  <si>
    <t>12op 9is</t>
  </si>
  <si>
    <t>6op 14is</t>
  </si>
  <si>
    <t>16op 16is</t>
  </si>
  <si>
    <t>4op 8is</t>
  </si>
  <si>
    <t>11op 14is</t>
  </si>
  <si>
    <t>9op 5is</t>
  </si>
  <si>
    <t>16op 10is</t>
  </si>
  <si>
    <t>5op 4is</t>
  </si>
  <si>
    <t>14op 7is</t>
  </si>
  <si>
    <t>5op 7is</t>
  </si>
  <si>
    <t>12op 13is</t>
  </si>
  <si>
    <t>14op 8is</t>
  </si>
  <si>
    <t>9op 8is</t>
  </si>
  <si>
    <t>12op 12is</t>
  </si>
  <si>
    <t>16op 19is</t>
  </si>
  <si>
    <t>15op 10is</t>
  </si>
  <si>
    <t>13op 12is</t>
  </si>
  <si>
    <t>7op 11is</t>
  </si>
  <si>
    <t>3op 3is</t>
  </si>
  <si>
    <t>6op 5is</t>
  </si>
  <si>
    <t>13op 15is</t>
  </si>
  <si>
    <t>8op 13is</t>
  </si>
  <si>
    <t>14op 18is</t>
  </si>
  <si>
    <t>11op 13is</t>
  </si>
  <si>
    <t>5op 1is</t>
  </si>
  <si>
    <t>9op 7is</t>
  </si>
  <si>
    <t>5op 5is</t>
  </si>
  <si>
    <t>12op 4is</t>
  </si>
  <si>
    <t>3op 4is</t>
  </si>
  <si>
    <t>4op 2is</t>
  </si>
  <si>
    <t>10op 5is</t>
  </si>
  <si>
    <t>7op 4is</t>
  </si>
  <si>
    <t>6op 4is</t>
  </si>
  <si>
    <t>10op 10is</t>
  </si>
  <si>
    <t>13op 9is</t>
  </si>
  <si>
    <t>10op 7is</t>
  </si>
  <si>
    <t>6op 11is</t>
  </si>
  <si>
    <t>14op 5is</t>
  </si>
  <si>
    <t>14op 4is</t>
  </si>
  <si>
    <t>4op 5is</t>
  </si>
  <si>
    <t>16op 13is</t>
  </si>
  <si>
    <t>8op 9is</t>
  </si>
  <si>
    <t>15op 7is</t>
  </si>
  <si>
    <t>12op 7is</t>
  </si>
  <si>
    <t>5op 3is</t>
  </si>
  <si>
    <t>12op 5is</t>
  </si>
  <si>
    <t>8op 7is</t>
  </si>
  <si>
    <t>3op 1is</t>
  </si>
  <si>
    <t>4op 4is</t>
  </si>
  <si>
    <t>11op 10is</t>
  </si>
  <si>
    <t>13op 8is</t>
  </si>
  <si>
    <t>15op 8is</t>
  </si>
  <si>
    <t>11op 5is</t>
  </si>
  <si>
    <t>7op 6is</t>
  </si>
  <si>
    <t>14op 6is</t>
  </si>
  <si>
    <t>10op 9is</t>
  </si>
  <si>
    <t>7op 9is</t>
  </si>
  <si>
    <t>12op 10is</t>
  </si>
  <si>
    <t>3op 2is</t>
  </si>
  <si>
    <t>11op 6is</t>
  </si>
  <si>
    <t>8op 8is</t>
  </si>
  <si>
    <t>1op 4is</t>
  </si>
  <si>
    <t>19op 5is</t>
  </si>
  <si>
    <t>7op 5is</t>
  </si>
  <si>
    <t>11op 15is</t>
  </si>
  <si>
    <t>17op 10is</t>
  </si>
  <si>
    <t>11op 8is</t>
  </si>
  <si>
    <t>6op 12is</t>
  </si>
  <si>
    <t>17op 8is</t>
  </si>
  <si>
    <t>4op 11is</t>
  </si>
  <si>
    <t>10op 8is</t>
  </si>
  <si>
    <t>7op 8is</t>
  </si>
  <si>
    <t>9op 10is</t>
  </si>
  <si>
    <t>8op 12is</t>
  </si>
  <si>
    <t>8op 10is</t>
  </si>
  <si>
    <t>6op 9is</t>
  </si>
  <si>
    <t>3op 6is</t>
  </si>
  <si>
    <t>8op 14is</t>
  </si>
  <si>
    <t>8op 11is</t>
  </si>
  <si>
    <t>7op 3is</t>
  </si>
  <si>
    <t>9op 6is</t>
  </si>
  <si>
    <t>8op 4is</t>
  </si>
  <si>
    <t>8op 3is</t>
  </si>
  <si>
    <t>9op 3is</t>
  </si>
  <si>
    <t>16op 15is</t>
  </si>
  <si>
    <t>14op 17is</t>
  </si>
  <si>
    <t>13op 11is</t>
  </si>
  <si>
    <t>11op 11is</t>
  </si>
  <si>
    <t>12op 11is</t>
  </si>
  <si>
    <t>10op 11is</t>
  </si>
  <si>
    <t>16op 12is</t>
  </si>
  <si>
    <t>18op 14is</t>
  </si>
  <si>
    <t>17op 11is</t>
  </si>
  <si>
    <t>16op 11is</t>
  </si>
  <si>
    <t>14op 16is</t>
  </si>
  <si>
    <t>14op 11is</t>
  </si>
  <si>
    <t>14op 12is</t>
  </si>
  <si>
    <t>15op 9is</t>
  </si>
  <si>
    <t>16op 17is</t>
  </si>
  <si>
    <t>17op 15is</t>
  </si>
  <si>
    <t>17op 17is</t>
  </si>
  <si>
    <t>14op 10is</t>
  </si>
  <si>
    <t>15op 12is</t>
  </si>
  <si>
    <t>13op 14is</t>
  </si>
  <si>
    <t>18op 15is</t>
  </si>
  <si>
    <t>12op 14is</t>
  </si>
  <si>
    <t>13op 17is</t>
  </si>
  <si>
    <t>15op 16is</t>
  </si>
  <si>
    <t>13op 6is</t>
  </si>
  <si>
    <t>10op 6is</t>
  </si>
  <si>
    <t>15op 11is</t>
  </si>
  <si>
    <t>16op 9is</t>
  </si>
  <si>
    <t>12op 8is</t>
  </si>
  <si>
    <t>13op 5is</t>
  </si>
  <si>
    <t>13op 7is</t>
  </si>
  <si>
    <t>15op 6is</t>
  </si>
  <si>
    <t>14op 9is</t>
  </si>
  <si>
    <t>16op 8is</t>
  </si>
  <si>
    <t>11op 7is</t>
  </si>
  <si>
    <t>16op 6is</t>
  </si>
  <si>
    <t>16op 7is</t>
  </si>
  <si>
    <t>10op 4is</t>
  </si>
  <si>
    <t>10op 12is</t>
  </si>
  <si>
    <t>1op 7is</t>
  </si>
  <si>
    <t>16op 20is</t>
  </si>
  <si>
    <t>18op 17is</t>
  </si>
  <si>
    <t>17op 12is</t>
  </si>
  <si>
    <t>11op 4is</t>
  </si>
  <si>
    <t>11op 2is</t>
  </si>
  <si>
    <t>8op 16is</t>
  </si>
  <si>
    <t>9op 15is</t>
  </si>
  <si>
    <t>10op 15is</t>
  </si>
  <si>
    <t>22op 16is</t>
  </si>
  <si>
    <t>5op 2is</t>
  </si>
  <si>
    <t>20op 15is</t>
  </si>
  <si>
    <t>20op 13is</t>
  </si>
  <si>
    <t>20op 11is</t>
  </si>
  <si>
    <t>书生3.84_x000D_
书生6.51</t>
  </si>
  <si>
    <t>举人5.01_x000D_
举人5.45</t>
  </si>
  <si>
    <t>进士4.06_x000D_
进士4.56</t>
  </si>
  <si>
    <t>①21.98[57]2.59_x000D_
②24.8[59]2.38_x000D_
③26.76[59]2.2_x000D_
③25.97[54]2.08_x000D_
⑤26.95[59]2.19_x000D_
②23.58[62]2.63_x000D_
②23.44[66]2.82_x000D_
②22.85[59]2.58_x000D_
①20.16[46]2.28_x000D_
②20.48[51]2.49_x000D_
⑤22.99[59]2.57_x000D_
④22[45]2.05_x000D_
⑤22.43[59]2.63_x000D_
③21.13[57]2.7_x000D_
④21.72[47]2.16_x000D_
①20.06[54]2.69</t>
  </si>
  <si>
    <t>①23.44[66]50_x000D_
①21.13[57]52_x000D_
①20.06[54]53</t>
  </si>
  <si>
    <t>①88.97[203]2.28_x000D_
①81.81[178]2.18_x000D_
②83.93[192]2.29_x000D_
①75.94[166]2.19_x000D_
②77.14[176]2.28_x000D_
②76.62[175]2.28_x000D_
⑤82.66[188]2.27_x000D_
⑤82.58[177]2.14_x000D_
①74.76[173]2.31_x000D_
①68.32[152]2.22_x000D_
②69.73[140]2.01_x000D_
②68.93[161]2.34_x000D_
⑤75.42[158]2.09_x000D_
④71.23[164]2.3_x000D_
①67.13[139]2.07</t>
  </si>
  <si>
    <t>①88.97[203]2.28_x000D_
②81.81[178]2.18_x000D_
①83.93[192]2.29_x000D_
③75.94[166]2.19_x000D_
③77.14[176]2.28_x000D_
②76.62[175]2.28_x000D_
①86.55[217]2.51_x000D_
②74.76[173]2.31_x000D_
②68.93[161]2.34_x000D_
①77.54[199]2.57_x000D_
⑤71.23[164]2.3_x000D_
③78.66[184]2.34_x000D_
③71.6[179]2.5</t>
  </si>
  <si>
    <t>①68.32[152]50_x000D_
①68.93[161]52_x000D_
①77.54[199]53_x000D_
③71.23[164]51_x000D_
①71.6[179]55</t>
  </si>
  <si>
    <t>书生6.05_x000D_
书生8.66</t>
  </si>
  <si>
    <t>举人6.33_x000D_
举人6.79</t>
  </si>
  <si>
    <t>进士6.01_x000D_
进士6.53</t>
  </si>
  <si>
    <t>①3.86[12]3.11</t>
  </si>
  <si>
    <t>⑤21.49[60]2.79</t>
  </si>
  <si>
    <t>②21.49[60]53</t>
  </si>
  <si>
    <t>②67.19[146]2.17_x000D_
③67.63[136]2.01_x000D_
④68.05[138]2.03_x000D_
②67.18[155]2.31_x000D_
④67.37[155]2.3</t>
  </si>
  <si>
    <t>④85.28[203]2.38_x000D_
④75.82[182]2.4_x000D_
⑤70.05[167]2.38_x000D_
②69.38[176]2.54_x000D_
①72.54[188]2.59_x000D_
④82.9[209]2.52</t>
  </si>
  <si>
    <t>⑤75.82[182]50_x000D_
③70.05[167]53_x000D_
①69.38[176]57_x000D_
②72.54[188]56</t>
  </si>
  <si>
    <t>秀才4.8_x000D_
秀才7.06</t>
  </si>
  <si>
    <t>举人9.94_x000D_
进士0.31</t>
  </si>
  <si>
    <t>进士8.62_x000D_
进士9.16</t>
  </si>
  <si>
    <t>①3.42[10]2.92_x000D_
②3.74[11]2.94_x000D_
③3.82[11]2.88_x000D_
⑤3.89[11]2.83_x000D_
④3.84[10]2.6</t>
  </si>
  <si>
    <t>⑤21.14[57]2.7_x000D_
①17.6[46]2.61_x000D_
②17.88[48]2.68</t>
  </si>
  <si>
    <t>①25.92[82]3.16</t>
  </si>
  <si>
    <t>①21.7[62]54_x000D_
⑤21.14[57]52_x000D_
④25.92[82]52_x000D_
①17.6[46]57_x000D_
①17.88[48]58</t>
  </si>
  <si>
    <t>①64.52[161]2.5_x000D_
②65.59[150]2.29_x000D_
③65.77[127]1.93_x000D_
①63.69[170]2.67_x000D_
②64.05[148]2.31</t>
  </si>
  <si>
    <t>①72.78[190]2.61_x000D_
①69.73[183]2.62_x000D_
③79.38[206]2.6_x000D_
①74.05[195]2.63_x000D_
①63.69[170]2.67_x000D_
①78.44[210]2.68</t>
  </si>
  <si>
    <t>②72.78[190]56_x000D_
①69.73[183]58_x000D_
①64.52[161]59_x000D_
⑤74.05[195]56_x000D_
①63.69[170]63</t>
  </si>
  <si>
    <t>秀才7.41_x000D_
秀才9.66</t>
  </si>
  <si>
    <t>进士3.12_x000D_
进士3.48</t>
  </si>
  <si>
    <t>③3.79[10]2.64_x000D_
②3.58[10]2.79_x000D_
③3.69[10]2.71_x000D_
⑤3.78[10]2.65_x000D_
③3.67[11]3_x000D_
⑤3.7[11]2.97_x000D_
②3.47[11]3.17_x000D_
④3.63[10]2.75</t>
  </si>
  <si>
    <t>①3.73[14]54</t>
  </si>
  <si>
    <t>①16.43[35]2.13_x000D_
④18.82[44]2.34_x000D_
⑤19.02[43]2.26_x000D_
②16.86[42]2.49</t>
  </si>
  <si>
    <t>②26.68[82]3.07_x000D_
①21.66[72]3.32</t>
  </si>
  <si>
    <t>③22.21[65]54_x000D_
③16.86[42]56_x000D_
①21.66[72]63</t>
  </si>
  <si>
    <t>进士9.61_x000D_
进士9.96</t>
  </si>
  <si>
    <t>④65[167]2.57</t>
  </si>
  <si>
    <t>①75.56[208]2.75_x000D_
⑤67.37[177]2.63_x000D_
①77.93[221]2.84</t>
  </si>
  <si>
    <t>④75.56[208]58_x000D_
②67.37[177]60_x000D_
②65[167]60</t>
  </si>
  <si>
    <t>小雷神0.8_x000D_
小雷神1.43</t>
  </si>
  <si>
    <t>⑤65.08[147]2.26_x000D_
①59.12[128]2.17_x000D_
②60.31[119]1.97_x000D_
⑤64.48[139]2.16</t>
  </si>
  <si>
    <t>⑤69.45[184]2.65_x000D_
⑤71.78[191]2.66_x000D_
③72.64[196]2.7</t>
  </si>
  <si>
    <t>④69.45[184]59</t>
  </si>
  <si>
    <t>举人2.55_x000D_
举人4.5</t>
  </si>
  <si>
    <t>进士6.15_x000D_
进士6.53</t>
  </si>
  <si>
    <t>小雷神3.95_x000D_
小雷神4.69</t>
  </si>
  <si>
    <t>③3.56[10]2.81_x000D_
④3.56[12]3.37_x000D_
①3.28[11]3.35_x000D_
②3.29[10]3.04_x000D_
④3.45[11]3.19_x000D_
④3.43[10]2.92</t>
  </si>
  <si>
    <t>①4.81[20]4.16_x000D_
②6.18[25]4.05_x000D_
①5.78[27]4.67_x000D_
③4.68[19]4.06_x000D_
④5.93[24]4.05</t>
  </si>
  <si>
    <t>②3.85[14]51_x000D_
②3.28[11]53_x000D_
③3.98[15]52_x000D_
③3.82[14]52</t>
  </si>
  <si>
    <t>⑤18.42[55]2.99_x000D_
③17.49[49]2.8_x000D_
①15.62[40]2.56</t>
  </si>
  <si>
    <t>③32.41[101]3.12_x000D_
⑤30.66[93]3.03_x000D_
③24.36[77]3.16_x000D_
④20.74[65]3.13_x000D_
①29.36[99]3.37_x000D_
③24.13[78]3.23_x000D_
④19.22[61]3.17_x000D_
③25.67[83]3.23</t>
  </si>
  <si>
    <t>④21.73[65]56_x000D_
①18.42[55]63_x000D_
③17.49[49]61_x000D_
⑤19.85[57]57_x000D_
④20.74[65]61_x000D_
⑤18.2[50]58_x000D_
⑤15.62[40]61_x000D_
①19.22[61]65</t>
  </si>
  <si>
    <t>③63.29[163]2.58_x000D_
③62.07[139]2.24_x000D_
④62.22[153]2.46_x000D_
②60.09[137]2.28_x000D_
①58.92[147]2.49_x000D_
①57.69[143]2.48_x000D_
④59.44[140]2.36</t>
  </si>
  <si>
    <t>③75.82[206]2.72_x000D_
⑤74.2[200]2.7_x000D_
③72.5[197]2.72_x000D_
⑤65.57[177]2.7</t>
  </si>
  <si>
    <t>②63.29[163]61_x000D_
⑤62.22[153]59_x000D_
③65.58[171]61_x000D_
②58.92[147]63_x000D_
②57.69[143]63_x000D_
③63.59[168]63_x000D_
⑤62.35[161]62_x000D_
③65.57[177]63</t>
  </si>
  <si>
    <t>进士6.81_x000D_
进士7.21</t>
  </si>
  <si>
    <t>小雷神7.58_x000D_
小雷神8.5</t>
  </si>
  <si>
    <t>③16.78[38]2.26</t>
  </si>
  <si>
    <t>②26.13[88]3.37_x000D_
③27.82[93]3.34</t>
  </si>
  <si>
    <t>③58.97[123]2.09_x000D_
②58.2[152]2.61</t>
  </si>
  <si>
    <t>①68.77[196]2.85_x000D_
④75.17[205]2.73_x000D_
③73.41[207]2.82_x000D_
①66.76[199]2.98_x000D_
②79.45[233]2.93_x000D_
③62.07[178]2.87</t>
  </si>
  <si>
    <t>①68.77[196]64_x000D_
①60.12[160]66_x000D_
①66.76[199]68_x000D_
②58.2[152]66_x000D_
①62.07[178]69</t>
  </si>
  <si>
    <t>举人2.58_x000D_
举人4.53</t>
  </si>
  <si>
    <t>进士7.36_x000D_
进士7.77</t>
  </si>
  <si>
    <t>小雷神8.19_x000D_
小雷神9.11</t>
  </si>
  <si>
    <t>③5.91[24]4.06</t>
  </si>
  <si>
    <t>①27.72[100]3.61</t>
  </si>
  <si>
    <t>③67[196]2.93</t>
  </si>
  <si>
    <t>③67[196]67_x000D_
③61.62[172]68</t>
  </si>
  <si>
    <t>举人2.98_x000D_
举人4.92</t>
  </si>
  <si>
    <t>进士8.97_x000D_
进士9.37</t>
  </si>
  <si>
    <t>小雷神9.59_x000D_
大雷神0.43</t>
  </si>
  <si>
    <t>③3.33[13]3.9</t>
  </si>
  <si>
    <t>①3.33[13]61</t>
  </si>
  <si>
    <t>①14.89[42]2.82_x000D_
④16.5[42]2.55</t>
  </si>
  <si>
    <t>②20.15[66]65_x000D_
①14.89[42]69_x000D_
②17.19[53]68_x000D_
③17.85[56]68</t>
  </si>
  <si>
    <t>①54.74[148]2.7</t>
  </si>
  <si>
    <t>④59.24[171]2.89</t>
  </si>
  <si>
    <t>①54.74[148]71_x000D_
①59.24[171]72</t>
  </si>
  <si>
    <t>条件</t>
    <phoneticPr fontId="1" type="noConversion"/>
  </si>
  <si>
    <t>值</t>
    <phoneticPr fontId="1" type="noConversion"/>
  </si>
  <si>
    <t>达成</t>
    <phoneticPr fontId="1" type="noConversion"/>
  </si>
  <si>
    <t>局数</t>
    <phoneticPr fontId="1" type="noConversion"/>
  </si>
  <si>
    <t>评价</t>
    <phoneticPr fontId="1" type="noConversion"/>
  </si>
  <si>
    <t>2025</t>
  </si>
  <si>
    <t>2025</t>
    <phoneticPr fontId="1" type="noConversion"/>
  </si>
  <si>
    <t>2024</t>
  </si>
  <si>
    <t>2024</t>
    <phoneticPr fontId="1" type="noConversion"/>
  </si>
  <si>
    <t>2023</t>
  </si>
  <si>
    <t>2023</t>
    <phoneticPr fontId="1" type="noConversion"/>
  </si>
  <si>
    <t>2022</t>
  </si>
  <si>
    <t>2022</t>
    <phoneticPr fontId="1" type="noConversion"/>
  </si>
  <si>
    <t>2021</t>
  </si>
  <si>
    <t>2021</t>
    <phoneticPr fontId="1" type="noConversion"/>
  </si>
  <si>
    <t>2020</t>
  </si>
  <si>
    <t>2020</t>
    <phoneticPr fontId="1" type="noConversion"/>
  </si>
  <si>
    <t>Beg.time&lt;</t>
    <phoneticPr fontId="1" type="noConversion"/>
  </si>
  <si>
    <t>罕见</t>
    <phoneticPr fontId="1" type="noConversion"/>
  </si>
  <si>
    <t>惊</t>
    <phoneticPr fontId="1" type="noConversion"/>
  </si>
  <si>
    <t>艰难</t>
    <phoneticPr fontId="1" type="noConversion"/>
  </si>
  <si>
    <t>强局</t>
    <phoneticPr fontId="1" type="noConversion"/>
  </si>
  <si>
    <t>优</t>
    <phoneticPr fontId="1" type="noConversion"/>
  </si>
  <si>
    <t>良</t>
    <phoneticPr fontId="1" type="noConversion"/>
  </si>
  <si>
    <t>可</t>
    <phoneticPr fontId="1" type="noConversion"/>
  </si>
  <si>
    <t>Beg.bvs&gt;=</t>
    <phoneticPr fontId="1" type="noConversion"/>
  </si>
  <si>
    <t>稀缺</t>
    <phoneticPr fontId="1" type="noConversion"/>
  </si>
  <si>
    <t>狗试</t>
    <phoneticPr fontId="1" type="noConversion"/>
  </si>
  <si>
    <t>Beg.stnb&gt;=</t>
    <phoneticPr fontId="1" type="noConversion"/>
  </si>
  <si>
    <t>Int.time&lt;</t>
    <phoneticPr fontId="1" type="noConversion"/>
  </si>
  <si>
    <t>Int.bvs&gt;=</t>
    <phoneticPr fontId="1" type="noConversion"/>
  </si>
  <si>
    <t>Int.stnb&gt;=</t>
    <phoneticPr fontId="1" type="noConversion"/>
  </si>
  <si>
    <t>Exp.time&lt;</t>
    <phoneticPr fontId="1" type="noConversion"/>
  </si>
  <si>
    <t>Exp.bvs&gt;=</t>
    <phoneticPr fontId="1" type="noConversion"/>
  </si>
  <si>
    <t>Exp.stnb&gt;=</t>
    <phoneticPr fontId="1" type="noConversion"/>
  </si>
  <si>
    <t>et&lt;30</t>
  </si>
  <si>
    <t>et&lt;31</t>
  </si>
  <si>
    <t>et&lt;32</t>
  </si>
  <si>
    <t>et&lt;33</t>
  </si>
  <si>
    <t>et&lt;34</t>
  </si>
  <si>
    <t>et&lt;35</t>
  </si>
  <si>
    <t>et&lt;36</t>
  </si>
  <si>
    <t>et&lt;37</t>
  </si>
  <si>
    <t>et&lt;38</t>
  </si>
  <si>
    <t>et&lt;39</t>
  </si>
  <si>
    <t>et&lt;40</t>
  </si>
  <si>
    <t>et&lt;41</t>
  </si>
  <si>
    <t>et&lt;42</t>
  </si>
  <si>
    <t>et&lt;43</t>
  </si>
  <si>
    <t>et&lt;44</t>
  </si>
  <si>
    <t>et&lt;45</t>
  </si>
  <si>
    <t>et&lt;46</t>
  </si>
  <si>
    <t>et&lt;47</t>
  </si>
  <si>
    <t>et&lt;48</t>
  </si>
  <si>
    <t>et&lt;49</t>
  </si>
  <si>
    <t>et&lt;50</t>
  </si>
  <si>
    <t>et&lt;51</t>
  </si>
  <si>
    <t>et&lt;52</t>
  </si>
  <si>
    <t>2+</t>
  </si>
  <si>
    <t>10+</t>
  </si>
  <si>
    <t>20+</t>
  </si>
  <si>
    <t>30+</t>
  </si>
  <si>
    <t>40+</t>
  </si>
  <si>
    <t>stnb</t>
  </si>
  <si>
    <t>Game</t>
  </si>
  <si>
    <t>Avg.T</t>
  </si>
  <si>
    <t>start</t>
  </si>
  <si>
    <t>csv</t>
  </si>
  <si>
    <t>split</t>
  </si>
  <si>
    <t>value</t>
  </si>
  <si>
    <t>index</t>
  </si>
  <si>
    <t>tbs-b</t>
  </si>
  <si>
    <t>tbs</t>
  </si>
  <si>
    <t>topC</t>
  </si>
  <si>
    <t>mBase</t>
  </si>
  <si>
    <t>pb</t>
  </si>
  <si>
    <t>gc</t>
  </si>
  <si>
    <t>week</t>
  </si>
  <si>
    <t>mAvg</t>
  </si>
  <si>
    <t>ces</t>
  </si>
  <si>
    <t>other</t>
  </si>
  <si>
    <t>lsf</t>
  </si>
  <si>
    <t>mTop</t>
  </si>
  <si>
    <t>yTop</t>
  </si>
  <si>
    <t>sub</t>
  </si>
  <si>
    <t>range</t>
  </si>
  <si>
    <t>fit</t>
  </si>
  <si>
    <t>t.1</t>
    <phoneticPr fontId="1" type="noConversion"/>
  </si>
  <si>
    <t>b.1</t>
    <phoneticPr fontId="1" type="noConversion"/>
  </si>
  <si>
    <t>s.1</t>
    <phoneticPr fontId="1" type="noConversion"/>
  </si>
  <si>
    <t>nt%</t>
    <phoneticPr fontId="1" type="noConversion"/>
  </si>
  <si>
    <t>定阶.1</t>
    <phoneticPr fontId="1" type="noConversion"/>
  </si>
  <si>
    <t>nft.1</t>
    <phoneticPr fontId="1" type="noConversion"/>
  </si>
  <si>
    <t>nfb.1</t>
    <phoneticPr fontId="1" type="noConversion"/>
  </si>
  <si>
    <t>nfs.1</t>
    <phoneticPr fontId="1" type="noConversion"/>
  </si>
  <si>
    <t>nfnt%</t>
    <phoneticPr fontId="1" type="noConversion"/>
  </si>
  <si>
    <t>nf定阶.1</t>
    <phoneticPr fontId="1" type="noConversion"/>
  </si>
  <si>
    <t>进士9.78</t>
    <phoneticPr fontId="1" type="noConversion"/>
  </si>
  <si>
    <t>小雷神0.3</t>
    <phoneticPr fontId="1" type="noConversion"/>
  </si>
  <si>
    <t>小雷神8.37</t>
    <phoneticPr fontId="1" type="noConversion"/>
  </si>
  <si>
    <t>小雷神9.29</t>
    <phoneticPr fontId="1" type="noConversion"/>
  </si>
  <si>
    <t>t.5</t>
    <phoneticPr fontId="1" type="noConversion"/>
  </si>
  <si>
    <t>s.5</t>
    <phoneticPr fontId="1" type="noConversion"/>
  </si>
  <si>
    <t>定阶.5</t>
    <phoneticPr fontId="1" type="noConversion"/>
  </si>
  <si>
    <t>nft.5</t>
    <phoneticPr fontId="1" type="noConversion"/>
  </si>
  <si>
    <t>nfb.5</t>
    <phoneticPr fontId="1" type="noConversion"/>
  </si>
  <si>
    <t>nfs.5</t>
    <phoneticPr fontId="1" type="noConversion"/>
  </si>
  <si>
    <t>nf定阶.5</t>
    <phoneticPr fontId="1" type="noConversion"/>
  </si>
  <si>
    <t>小雷神9.59</t>
    <phoneticPr fontId="1" type="noConversion"/>
  </si>
  <si>
    <t>大雷神0.43</t>
    <phoneticPr fontId="1" type="noConversion"/>
  </si>
  <si>
    <t>t.25</t>
    <phoneticPr fontId="1" type="noConversion"/>
  </si>
  <si>
    <t>b.25</t>
    <phoneticPr fontId="1" type="noConversion"/>
  </si>
  <si>
    <t>s.25</t>
    <phoneticPr fontId="1" type="noConversion"/>
  </si>
  <si>
    <t>定阶.25</t>
    <phoneticPr fontId="1" type="noConversion"/>
  </si>
  <si>
    <t>nft.25</t>
    <phoneticPr fontId="1" type="noConversion"/>
  </si>
  <si>
    <t>nfb.25</t>
    <phoneticPr fontId="1" type="noConversion"/>
  </si>
  <si>
    <t>nfs.25</t>
    <phoneticPr fontId="1" type="noConversion"/>
  </si>
  <si>
    <t>nf定阶.25</t>
    <phoneticPr fontId="1" type="noConversion"/>
  </si>
  <si>
    <t>小雷神9.66</t>
    <phoneticPr fontId="1" type="noConversion"/>
  </si>
  <si>
    <t>0.41年前开始扫雷</t>
    <phoneticPr fontId="1" type="noConversion"/>
  </si>
  <si>
    <t>4.6</t>
    <phoneticPr fontId="1" type="noConversion"/>
  </si>
  <si>
    <t>4.4</t>
    <phoneticPr fontId="1" type="noConversion"/>
  </si>
  <si>
    <t>4.2</t>
    <phoneticPr fontId="1" type="noConversion"/>
  </si>
  <si>
    <t>4</t>
    <phoneticPr fontId="1" type="noConversion"/>
  </si>
  <si>
    <t>3.8</t>
    <phoneticPr fontId="1" type="noConversion"/>
  </si>
  <si>
    <t>3.6</t>
    <phoneticPr fontId="1" type="noConversion"/>
  </si>
  <si>
    <t>3.4</t>
    <phoneticPr fontId="1" type="noConversion"/>
  </si>
  <si>
    <t>2.8</t>
    <phoneticPr fontId="1" type="noConversion"/>
  </si>
  <si>
    <t>3</t>
    <phoneticPr fontId="1" type="noConversion"/>
  </si>
  <si>
    <t>3.2</t>
    <phoneticPr fontId="1" type="noConversion"/>
  </si>
  <si>
    <t>-10</t>
    <phoneticPr fontId="1" type="noConversion"/>
  </si>
  <si>
    <t>0</t>
    <phoneticPr fontId="1" type="noConversion"/>
  </si>
  <si>
    <t>10</t>
    <phoneticPr fontId="1" type="noConversion"/>
  </si>
  <si>
    <t>20</t>
    <phoneticPr fontId="1" type="noConversion"/>
  </si>
  <si>
    <t>30</t>
    <phoneticPr fontId="1" type="noConversion"/>
  </si>
  <si>
    <t>40</t>
    <phoneticPr fontId="1" type="noConversion"/>
  </si>
  <si>
    <t>50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</si>
  <si>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</si>
  <si>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</si>
  <si>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</si>
  <si>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</si>
  <si>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</si>
  <si>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</si>
  <si>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2</t>
    <phoneticPr fontId="1" type="noConversion"/>
  </si>
  <si>
    <t>2.2</t>
    <phoneticPr fontId="1" type="noConversion"/>
  </si>
  <si>
    <t>2.4</t>
    <phoneticPr fontId="1" type="noConversion"/>
  </si>
  <si>
    <t>2.6</t>
    <phoneticPr fontId="1" type="noConversion"/>
  </si>
  <si>
    <t>36</t>
    <phoneticPr fontId="1" type="noConversion"/>
  </si>
  <si>
    <t>42</t>
    <phoneticPr fontId="1" type="noConversion"/>
  </si>
  <si>
    <t>48</t>
    <phoneticPr fontId="1" type="noConversion"/>
  </si>
  <si>
    <t>54</t>
    <phoneticPr fontId="1" type="noConversion"/>
  </si>
  <si>
    <t>60</t>
    <phoneticPr fontId="1" type="noConversion"/>
  </si>
  <si>
    <t>66</t>
    <phoneticPr fontId="1" type="noConversion"/>
  </si>
  <si>
    <t>65</t>
    <phoneticPr fontId="1" type="noConversion"/>
  </si>
  <si>
    <t>64</t>
    <phoneticPr fontId="1" type="noConversion"/>
  </si>
  <si>
    <t>63</t>
    <phoneticPr fontId="1" type="noConversion"/>
  </si>
  <si>
    <t>62</t>
    <phoneticPr fontId="1" type="noConversion"/>
  </si>
  <si>
    <t>61</t>
    <phoneticPr fontId="1" type="noConversion"/>
  </si>
  <si>
    <t>59</t>
    <phoneticPr fontId="1" type="noConversion"/>
  </si>
  <si>
    <t>2.3</t>
    <phoneticPr fontId="1" type="noConversion"/>
  </si>
  <si>
    <t>2.5</t>
    <phoneticPr fontId="1" type="noConversion"/>
  </si>
  <si>
    <t>2.7</t>
    <phoneticPr fontId="1" type="noConversion"/>
  </si>
  <si>
    <t>2.9</t>
    <phoneticPr fontId="1" type="noConversion"/>
  </si>
  <si>
    <t>44</t>
    <phoneticPr fontId="1" type="noConversion"/>
  </si>
  <si>
    <t>52</t>
    <phoneticPr fontId="1" type="noConversion"/>
  </si>
  <si>
    <t>56</t>
    <phoneticPr fontId="1" type="noConversion"/>
  </si>
  <si>
    <t>68</t>
    <phoneticPr fontId="1" type="noConversion"/>
  </si>
  <si>
    <t>61.01(69.64) = 976.2</t>
    <phoneticPr fontId="1" type="noConversion"/>
  </si>
  <si>
    <t>举人6.15</t>
    <phoneticPr fontId="1" type="noConversion"/>
  </si>
  <si>
    <t>举人8.29</t>
    <phoneticPr fontId="1" type="noConversion"/>
  </si>
  <si>
    <t>举人3.81</t>
    <phoneticPr fontId="1" type="noConversion"/>
  </si>
  <si>
    <t>举人5.72</t>
    <phoneticPr fontId="1" type="noConversion"/>
  </si>
  <si>
    <t>5op 12is</t>
  </si>
  <si>
    <t>44.16(51.32) = 220.8</t>
    <phoneticPr fontId="1" type="noConversion"/>
  </si>
  <si>
    <t>举人3.81_x000D_
举人5.72</t>
  </si>
  <si>
    <t>④3.34[13]3.89_x000D_
①3.17[11]3.47</t>
  </si>
  <si>
    <t>②3.34[13]60_x000D_
③3.17[11]56</t>
  </si>
  <si>
    <t>start</t>
    <phoneticPr fontId="1" type="noConversion"/>
  </si>
  <si>
    <t>csv</t>
    <phoneticPr fontId="1" type="noConversion"/>
  </si>
  <si>
    <t>split</t>
    <phoneticPr fontId="1" type="noConversion"/>
  </si>
  <si>
    <t>6op 2is</t>
  </si>
  <si>
    <t>进士9.26</t>
    <phoneticPr fontId="1" type="noConversion"/>
  </si>
  <si>
    <t>进士9.66</t>
    <phoneticPr fontId="1" type="noConversion"/>
  </si>
  <si>
    <t>举人2.01</t>
    <phoneticPr fontId="1" type="noConversion"/>
  </si>
  <si>
    <t>进士7.36</t>
    <phoneticPr fontId="1" type="noConversion"/>
  </si>
  <si>
    <t>17op 19is</t>
  </si>
  <si>
    <t>19op 11is</t>
  </si>
  <si>
    <t>55.44(63.15) = 665.3</t>
    <phoneticPr fontId="1" type="noConversion"/>
  </si>
  <si>
    <t>1750.5+111.7 = 1862.3</t>
    <phoneticPr fontId="1" type="noConversion"/>
  </si>
  <si>
    <t>进士9.26_x000D_
进士9.66</t>
  </si>
  <si>
    <t>②23.28[80]3.44</t>
  </si>
  <si>
    <t>②18.44[60]69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</si>
</sst>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_ "/>
    <numFmt numFmtId="177" formatCode="0.000_ "/>
    <numFmt numFmtId="178" formatCode="0.0_ "/>
    <numFmt numFmtId="179" formatCode="0.000_);[Red]\(0.000\)"/>
    <numFmt numFmtId="180" formatCode="0_);[Red]\(0\)"/>
    <numFmt numFmtId="181" formatCode="0.00_);[Red]\(0.00\)"/>
    <numFmt numFmtId="182" formatCode="0_ "/>
    <numFmt numFmtId="183" formatCode="0.0_);[Red]\(0.0\)"/>
    <numFmt numFmtId="184" formatCode="yy/m/d"/>
    <numFmt numFmtId="185" formatCode="yy/m"/>
    <numFmt numFmtId="186" formatCode="yyyy"/>
    <numFmt numFmtId="187" formatCode="0.0000_);[Red]\(0.0000\)"/>
    <numFmt numFmtId="188" formatCode="yyyy/m"/>
    <numFmt numFmtId="189" formatCode="0.0000_ "/>
    <numFmt numFmtId="190" formatCode="0.0%"/>
    <numFmt numFmtId="191" formatCode="m/d"/>
    <numFmt numFmtId="192" formatCode="m:ss.00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华文细黑"/>
      <family val="3"/>
      <charset val="134"/>
    </font>
    <font>
      <sz val="9"/>
      <color theme="1"/>
      <name val="宋体"/>
      <family val="2"/>
      <scheme val="minor"/>
    </font>
    <font>
      <sz val="9"/>
      <name val="华文细黑"/>
      <family val="3"/>
      <charset val="134"/>
    </font>
    <font>
      <sz val="9"/>
      <color rgb="FFFFFFFF"/>
      <name val="华文细黑"/>
      <family val="3"/>
      <charset val="134"/>
    </font>
  </fonts>
  <fills count="5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7831D"/>
        <bgColor indexed="64"/>
      </patternFill>
    </fill>
    <fill>
      <patternFill patternType="solid">
        <fgColor rgb="FF81DEFF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DF3D4"/>
        <bgColor theme="0"/>
      </patternFill>
    </fill>
    <fill>
      <patternFill patternType="solid">
        <fgColor rgb="FF14D2A0"/>
        <bgColor theme="0"/>
      </patternFill>
    </fill>
    <fill>
      <patternFill patternType="solid">
        <fgColor rgb="FF2BE5F9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rgb="FFA65C12"/>
        <bgColor indexed="64"/>
      </patternFill>
    </fill>
    <fill>
      <patternFill patternType="solid">
        <fgColor rgb="FF009242"/>
        <bgColor indexed="64"/>
      </patternFill>
    </fill>
    <fill>
      <patternFill patternType="solid">
        <fgColor rgb="FF0F9D78"/>
        <bgColor theme="0"/>
      </patternFill>
    </fill>
    <fill>
      <patternFill patternType="solid">
        <fgColor rgb="FF0B7B5E"/>
        <bgColor theme="0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5C98"/>
        <bgColor theme="0"/>
      </patternFill>
    </fill>
    <fill>
      <patternFill patternType="solid">
        <fgColor rgb="FFFC9EC2"/>
        <bgColor theme="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6D1B8"/>
        <bgColor indexed="64"/>
      </patternFill>
    </fill>
    <fill>
      <patternFill patternType="solid">
        <fgColor rgb="FFB9B085"/>
        <bgColor indexed="64"/>
      </patternFill>
    </fill>
    <fill>
      <patternFill patternType="solid">
        <fgColor rgb="FF736B41"/>
        <bgColor indexed="64"/>
      </patternFill>
    </fill>
    <fill>
      <patternFill patternType="solid">
        <fgColor rgb="FFB889DB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0062AC"/>
        <bgColor indexed="64"/>
      </patternFill>
    </fill>
    <fill>
      <patternFill patternType="solid">
        <fgColor rgb="FF007DDA"/>
        <bgColor indexed="64"/>
      </patternFill>
    </fill>
    <fill>
      <patternFill patternType="solid">
        <fgColor rgb="FF934BC9"/>
        <bgColor indexed="64"/>
      </patternFill>
    </fill>
    <fill>
      <patternFill patternType="solid">
        <fgColor rgb="FFDC0658"/>
        <bgColor theme="0"/>
      </patternFill>
    </fill>
    <fill>
      <patternFill patternType="solid">
        <fgColor rgb="FFAA0644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C9EC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48A5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F9D78"/>
        <bgColor indexed="64"/>
      </patternFill>
    </fill>
    <fill>
      <patternFill patternType="solid">
        <fgColor rgb="FFDC0658"/>
        <bgColor indexed="64"/>
      </patternFill>
    </fill>
    <fill>
      <patternFill patternType="solid">
        <fgColor rgb="FFFA5C98"/>
        <bgColor indexed="64"/>
      </patternFill>
    </fill>
    <fill>
      <patternFill patternType="solid">
        <fgColor rgb="FF14D2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3">
    <xf numFmtId="0" fontId="0" fillId="0" borderId="0" xfId="0"/>
    <xf numFmtId="185" fontId="2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185" fontId="2" fillId="6" borderId="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7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/>
    <xf numFmtId="185" fontId="2" fillId="4" borderId="1" xfId="0" applyNumberFormat="1" applyFont="1" applyFill="1" applyBorder="1" applyAlignment="1">
      <alignment horizontal="center" vertical="center"/>
    </xf>
    <xf numFmtId="181" fontId="2" fillId="4" borderId="1" xfId="0" applyNumberFormat="1" applyFont="1" applyFill="1" applyBorder="1" applyAlignment="1">
      <alignment horizontal="center" vertical="center"/>
    </xf>
    <xf numFmtId="183" fontId="2" fillId="4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180" fontId="2" fillId="4" borderId="1" xfId="0" applyNumberFormat="1" applyFont="1" applyFill="1" applyBorder="1" applyAlignment="1">
      <alignment horizontal="center" vertical="center"/>
    </xf>
    <xf numFmtId="180" fontId="2" fillId="6" borderId="1" xfId="0" applyNumberFormat="1" applyFont="1" applyFill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181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86" fontId="2" fillId="0" borderId="1" xfId="0" applyNumberFormat="1" applyFont="1" applyBorder="1" applyAlignment="1">
      <alignment horizontal="center" vertical="center"/>
    </xf>
    <xf numFmtId="183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88" fontId="2" fillId="2" borderId="1" xfId="0" applyNumberFormat="1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88" fontId="2" fillId="6" borderId="1" xfId="0" applyNumberFormat="1" applyFont="1" applyFill="1" applyBorder="1" applyAlignment="1">
      <alignment horizontal="center" vertical="center"/>
    </xf>
    <xf numFmtId="10" fontId="2" fillId="18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85" fontId="2" fillId="0" borderId="1" xfId="0" applyNumberFormat="1" applyFont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7" fontId="4" fillId="6" borderId="1" xfId="0" applyNumberFormat="1" applyFont="1" applyFill="1" applyBorder="1" applyAlignment="1">
      <alignment horizontal="center" vertical="center"/>
    </xf>
    <xf numFmtId="10" fontId="2" fillId="7" borderId="1" xfId="0" applyNumberFormat="1" applyFont="1" applyFill="1" applyBorder="1" applyAlignment="1">
      <alignment horizontal="center" vertical="center"/>
    </xf>
    <xf numFmtId="10" fontId="2" fillId="5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81" fontId="2" fillId="6" borderId="1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1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84" fontId="2" fillId="0" borderId="1" xfId="0" applyNumberFormat="1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182" fontId="2" fillId="6" borderId="1" xfId="0" applyNumberFormat="1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center" vertical="center"/>
    </xf>
    <xf numFmtId="0" fontId="2" fillId="36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center" vertical="center"/>
    </xf>
    <xf numFmtId="0" fontId="2" fillId="31" borderId="1" xfId="0" applyFont="1" applyFill="1" applyBorder="1" applyAlignment="1">
      <alignment horizontal="center" vertical="center"/>
    </xf>
    <xf numFmtId="0" fontId="2" fillId="32" borderId="1" xfId="0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/>
    </xf>
    <xf numFmtId="189" fontId="2" fillId="3" borderId="1" xfId="0" applyNumberFormat="1" applyFont="1" applyFill="1" applyBorder="1" applyAlignment="1">
      <alignment horizontal="center" vertical="center"/>
    </xf>
    <xf numFmtId="182" fontId="2" fillId="3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9" fontId="2" fillId="3" borderId="1" xfId="0" applyNumberFormat="1" applyFont="1" applyFill="1" applyBorder="1" applyAlignment="1">
      <alignment horizontal="center" vertical="center"/>
    </xf>
    <xf numFmtId="183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84" fontId="2" fillId="3" borderId="1" xfId="0" applyNumberFormat="1" applyFont="1" applyFill="1" applyBorder="1" applyAlignment="1">
      <alignment horizontal="center" vertical="center"/>
    </xf>
    <xf numFmtId="182" fontId="2" fillId="0" borderId="1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8" fontId="2" fillId="3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6" borderId="1" xfId="0" applyNumberFormat="1" applyFont="1" applyFill="1" applyBorder="1" applyAlignment="1">
      <alignment horizontal="center" vertical="center"/>
    </xf>
    <xf numFmtId="0" fontId="2" fillId="39" borderId="1" xfId="0" applyFont="1" applyFill="1" applyBorder="1" applyAlignment="1">
      <alignment horizontal="center" vertical="center"/>
    </xf>
    <xf numFmtId="178" fontId="4" fillId="6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181" fontId="2" fillId="24" borderId="1" xfId="0" applyNumberFormat="1" applyFont="1" applyFill="1" applyBorder="1" applyAlignment="1">
      <alignment horizontal="center" vertical="center"/>
    </xf>
    <xf numFmtId="180" fontId="2" fillId="24" borderId="1" xfId="0" applyNumberFormat="1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85" fontId="2" fillId="2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7" fontId="2" fillId="41" borderId="1" xfId="0" applyNumberFormat="1" applyFont="1" applyFill="1" applyBorder="1" applyAlignment="1">
      <alignment horizontal="center" vertical="center"/>
    </xf>
    <xf numFmtId="181" fontId="2" fillId="3" borderId="1" xfId="0" applyNumberFormat="1" applyFont="1" applyFill="1" applyBorder="1" applyAlignment="1">
      <alignment horizontal="center" vertical="center"/>
    </xf>
    <xf numFmtId="191" fontId="2" fillId="6" borderId="1" xfId="0" applyNumberFormat="1" applyFont="1" applyFill="1" applyBorder="1" applyAlignment="1">
      <alignment horizontal="center" vertical="center"/>
    </xf>
    <xf numFmtId="191" fontId="2" fillId="0" borderId="5" xfId="0" applyNumberFormat="1" applyFont="1" applyBorder="1" applyAlignment="1">
      <alignment horizontal="center" vertical="center"/>
    </xf>
    <xf numFmtId="191" fontId="2" fillId="0" borderId="4" xfId="0" applyNumberFormat="1" applyFont="1" applyBorder="1" applyAlignment="1">
      <alignment horizontal="center" vertical="center"/>
    </xf>
    <xf numFmtId="191" fontId="2" fillId="0" borderId="1" xfId="0" applyNumberFormat="1" applyFont="1" applyBorder="1" applyAlignment="1">
      <alignment horizontal="center" vertical="center"/>
    </xf>
    <xf numFmtId="191" fontId="2" fillId="2" borderId="1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184" fontId="2" fillId="0" borderId="5" xfId="0" applyNumberFormat="1" applyFont="1" applyBorder="1" applyAlignment="1">
      <alignment horizontal="center" vertical="center"/>
    </xf>
    <xf numFmtId="184" fontId="2" fillId="0" borderId="4" xfId="0" applyNumberFormat="1" applyFont="1" applyBorder="1" applyAlignment="1">
      <alignment horizontal="center" vertical="center"/>
    </xf>
    <xf numFmtId="182" fontId="2" fillId="4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183" fontId="2" fillId="43" borderId="1" xfId="0" applyNumberFormat="1" applyFont="1" applyFill="1" applyBorder="1" applyAlignment="1">
      <alignment horizontal="center" vertical="center"/>
    </xf>
    <xf numFmtId="181" fontId="2" fillId="43" borderId="1" xfId="0" applyNumberFormat="1" applyFont="1" applyFill="1" applyBorder="1" applyAlignment="1">
      <alignment horizontal="center" vertical="center"/>
    </xf>
    <xf numFmtId="179" fontId="2" fillId="43" borderId="1" xfId="0" applyNumberFormat="1" applyFont="1" applyFill="1" applyBorder="1" applyAlignment="1">
      <alignment horizontal="center" vertical="center"/>
    </xf>
    <xf numFmtId="183" fontId="2" fillId="2" borderId="1" xfId="0" applyNumberFormat="1" applyFont="1" applyFill="1" applyBorder="1" applyAlignment="1">
      <alignment horizontal="center" vertical="center"/>
    </xf>
    <xf numFmtId="178" fontId="2" fillId="43" borderId="1" xfId="0" applyNumberFormat="1" applyFont="1" applyFill="1" applyBorder="1" applyAlignment="1">
      <alignment horizontal="center" vertical="center"/>
    </xf>
    <xf numFmtId="178" fontId="2" fillId="6" borderId="1" xfId="0" applyNumberFormat="1" applyFont="1" applyFill="1" applyBorder="1" applyAlignment="1">
      <alignment horizontal="center" vertical="center"/>
    </xf>
    <xf numFmtId="179" fontId="2" fillId="41" borderId="1" xfId="0" applyNumberFormat="1" applyFont="1" applyFill="1" applyBorder="1" applyAlignment="1">
      <alignment horizontal="center" vertical="center"/>
    </xf>
    <xf numFmtId="183" fontId="2" fillId="6" borderId="1" xfId="0" applyNumberFormat="1" applyFont="1" applyFill="1" applyBorder="1" applyAlignment="1">
      <alignment horizontal="center" vertical="center"/>
    </xf>
    <xf numFmtId="176" fontId="2" fillId="43" borderId="1" xfId="0" applyNumberFormat="1" applyFont="1" applyFill="1" applyBorder="1" applyAlignment="1">
      <alignment horizontal="center" vertical="center"/>
    </xf>
    <xf numFmtId="0" fontId="2" fillId="43" borderId="1" xfId="0" applyFont="1" applyFill="1" applyBorder="1" applyAlignment="1">
      <alignment horizontal="center" vertical="center"/>
    </xf>
    <xf numFmtId="178" fontId="4" fillId="43" borderId="1" xfId="0" applyNumberFormat="1" applyFont="1" applyFill="1" applyBorder="1" applyAlignment="1">
      <alignment horizontal="center" vertical="center"/>
    </xf>
    <xf numFmtId="177" fontId="2" fillId="43" borderId="1" xfId="0" applyNumberFormat="1" applyFont="1" applyFill="1" applyBorder="1" applyAlignment="1">
      <alignment horizontal="center" vertical="center"/>
    </xf>
    <xf numFmtId="46" fontId="2" fillId="2" borderId="1" xfId="0" applyNumberFormat="1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47" fontId="2" fillId="2" borderId="1" xfId="0" applyNumberFormat="1" applyFont="1" applyFill="1" applyBorder="1" applyAlignment="1">
      <alignment horizontal="center" vertical="center"/>
    </xf>
    <xf numFmtId="176" fontId="2" fillId="45" borderId="1" xfId="0" applyNumberFormat="1" applyFont="1" applyFill="1" applyBorder="1" applyAlignment="1">
      <alignment horizontal="center" vertical="center"/>
    </xf>
    <xf numFmtId="184" fontId="2" fillId="46" borderId="1" xfId="0" applyNumberFormat="1" applyFont="1" applyFill="1" applyBorder="1" applyAlignment="1">
      <alignment horizontal="center" vertical="center"/>
    </xf>
    <xf numFmtId="0" fontId="2" fillId="46" borderId="1" xfId="0" applyFont="1" applyFill="1" applyBorder="1" applyAlignment="1">
      <alignment horizontal="center" vertical="center"/>
    </xf>
    <xf numFmtId="190" fontId="2" fillId="2" borderId="1" xfId="0" applyNumberFormat="1" applyFont="1" applyFill="1" applyBorder="1" applyAlignment="1">
      <alignment horizontal="center" vertical="center"/>
    </xf>
    <xf numFmtId="182" fontId="2" fillId="47" borderId="1" xfId="0" applyNumberFormat="1" applyFont="1" applyFill="1" applyBorder="1" applyAlignment="1">
      <alignment horizontal="center" vertical="center"/>
    </xf>
    <xf numFmtId="177" fontId="2" fillId="47" borderId="1" xfId="0" applyNumberFormat="1" applyFont="1" applyFill="1" applyBorder="1" applyAlignment="1">
      <alignment horizontal="center" vertical="center"/>
    </xf>
    <xf numFmtId="0" fontId="2" fillId="47" borderId="1" xfId="0" applyFont="1" applyFill="1" applyBorder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189" fontId="2" fillId="2" borderId="1" xfId="0" applyNumberFormat="1" applyFont="1" applyFill="1" applyBorder="1" applyAlignment="1">
      <alignment horizontal="center" vertical="center"/>
    </xf>
    <xf numFmtId="177" fontId="2" fillId="42" borderId="1" xfId="0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>
      <alignment horizontal="center" vertical="center"/>
    </xf>
    <xf numFmtId="192" fontId="2" fillId="2" borderId="1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177" fontId="2" fillId="12" borderId="1" xfId="0" applyNumberFormat="1" applyFont="1" applyFill="1" applyBorder="1" applyAlignment="1">
      <alignment horizontal="center" vertical="center"/>
    </xf>
    <xf numFmtId="177" fontId="2" fillId="34" borderId="1" xfId="0" applyNumberFormat="1" applyFont="1" applyFill="1" applyBorder="1" applyAlignment="1">
      <alignment horizontal="center" vertical="center"/>
    </xf>
    <xf numFmtId="177" fontId="2" fillId="20" borderId="1" xfId="0" applyNumberFormat="1" applyFont="1" applyFill="1" applyBorder="1" applyAlignment="1">
      <alignment horizontal="center" vertical="center"/>
    </xf>
    <xf numFmtId="178" fontId="2" fillId="29" borderId="1" xfId="0" applyNumberFormat="1" applyFont="1" applyFill="1" applyBorder="1" applyAlignment="1">
      <alignment horizontal="center" vertical="center"/>
    </xf>
    <xf numFmtId="178" fontId="2" fillId="35" borderId="1" xfId="0" applyNumberFormat="1" applyFont="1" applyFill="1" applyBorder="1" applyAlignment="1">
      <alignment horizontal="center" vertical="center"/>
    </xf>
    <xf numFmtId="178" fontId="2" fillId="28" borderId="1" xfId="0" applyNumberFormat="1" applyFont="1" applyFill="1" applyBorder="1" applyAlignment="1">
      <alignment horizontal="center" vertical="center"/>
    </xf>
    <xf numFmtId="177" fontId="2" fillId="30" borderId="1" xfId="0" applyNumberFormat="1" applyFont="1" applyFill="1" applyBorder="1" applyAlignment="1">
      <alignment horizontal="center" vertical="center"/>
    </xf>
    <xf numFmtId="177" fontId="2" fillId="8" borderId="1" xfId="0" applyNumberFormat="1" applyFont="1" applyFill="1" applyBorder="1" applyAlignment="1">
      <alignment horizontal="center" vertical="center"/>
    </xf>
    <xf numFmtId="177" fontId="2" fillId="11" borderId="1" xfId="0" applyNumberFormat="1" applyFont="1" applyFill="1" applyBorder="1" applyAlignment="1">
      <alignment horizontal="center" vertical="center"/>
    </xf>
    <xf numFmtId="178" fontId="2" fillId="30" borderId="1" xfId="0" applyNumberFormat="1" applyFont="1" applyFill="1" applyBorder="1" applyAlignment="1">
      <alignment horizontal="center" vertical="center"/>
    </xf>
    <xf numFmtId="177" fontId="2" fillId="48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8" fontId="2" fillId="48" borderId="1" xfId="0" applyNumberFormat="1" applyFont="1" applyFill="1" applyBorder="1" applyAlignment="1">
      <alignment horizontal="center" vertical="center"/>
    </xf>
    <xf numFmtId="177" fontId="2" fillId="28" borderId="1" xfId="0" applyNumberFormat="1" applyFont="1" applyFill="1" applyBorder="1" applyAlignment="1">
      <alignment horizontal="center" vertical="center"/>
    </xf>
    <xf numFmtId="0" fontId="2" fillId="49" borderId="1" xfId="0" applyFont="1" applyFill="1" applyBorder="1" applyAlignment="1">
      <alignment horizontal="center" vertical="center"/>
    </xf>
    <xf numFmtId="177" fontId="2" fillId="29" borderId="1" xfId="0" applyNumberFormat="1" applyFont="1" applyFill="1" applyBorder="1" applyAlignment="1">
      <alignment horizontal="center" vertical="center"/>
    </xf>
    <xf numFmtId="177" fontId="2" fillId="33" borderId="1" xfId="0" applyNumberFormat="1" applyFont="1" applyFill="1" applyBorder="1" applyAlignment="1">
      <alignment horizontal="center" vertical="center"/>
    </xf>
    <xf numFmtId="0" fontId="2" fillId="48" borderId="1" xfId="0" applyFont="1" applyFill="1" applyBorder="1" applyAlignment="1">
      <alignment horizontal="center" vertical="center"/>
    </xf>
    <xf numFmtId="178" fontId="2" fillId="31" borderId="1" xfId="0" applyNumberFormat="1" applyFont="1" applyFill="1" applyBorder="1" applyAlignment="1">
      <alignment horizontal="center" vertical="center"/>
    </xf>
    <xf numFmtId="177" fontId="2" fillId="35" borderId="1" xfId="0" applyNumberFormat="1" applyFont="1" applyFill="1" applyBorder="1" applyAlignment="1">
      <alignment horizontal="center" vertical="center"/>
    </xf>
    <xf numFmtId="176" fontId="2" fillId="31" borderId="1" xfId="0" applyNumberFormat="1" applyFont="1" applyFill="1" applyBorder="1" applyAlignment="1">
      <alignment horizontal="center" vertical="center"/>
    </xf>
    <xf numFmtId="176" fontId="2" fillId="35" borderId="1" xfId="0" applyNumberFormat="1" applyFont="1" applyFill="1" applyBorder="1" applyAlignment="1">
      <alignment horizontal="center" vertical="center"/>
    </xf>
    <xf numFmtId="176" fontId="2" fillId="30" borderId="1" xfId="0" applyNumberFormat="1" applyFont="1" applyFill="1" applyBorder="1" applyAlignment="1">
      <alignment horizontal="center" vertical="center"/>
    </xf>
    <xf numFmtId="176" fontId="2" fillId="48" borderId="1" xfId="0" applyNumberFormat="1" applyFont="1" applyFill="1" applyBorder="1" applyAlignment="1">
      <alignment horizontal="center" vertical="center"/>
    </xf>
    <xf numFmtId="176" fontId="2" fillId="12" borderId="1" xfId="0" applyNumberFormat="1" applyFont="1" applyFill="1" applyBorder="1" applyAlignment="1">
      <alignment horizontal="center" vertical="center"/>
    </xf>
    <xf numFmtId="176" fontId="2" fillId="28" borderId="1" xfId="0" applyNumberFormat="1" applyFont="1" applyFill="1" applyBorder="1" applyAlignment="1">
      <alignment horizontal="center" vertical="center"/>
    </xf>
    <xf numFmtId="176" fontId="2" fillId="20" borderId="1" xfId="0" applyNumberFormat="1" applyFont="1" applyFill="1" applyBorder="1" applyAlignment="1">
      <alignment horizontal="center" vertical="center"/>
    </xf>
    <xf numFmtId="176" fontId="2" fillId="34" borderId="1" xfId="0" applyNumberFormat="1" applyFont="1" applyFill="1" applyBorder="1" applyAlignment="1">
      <alignment horizontal="center" vertical="center"/>
    </xf>
    <xf numFmtId="176" fontId="2" fillId="11" borderId="1" xfId="0" applyNumberFormat="1" applyFont="1" applyFill="1" applyBorder="1" applyAlignment="1">
      <alignment horizontal="center" vertical="center"/>
    </xf>
    <xf numFmtId="176" fontId="2" fillId="33" borderId="1" xfId="0" applyNumberFormat="1" applyFont="1" applyFill="1" applyBorder="1" applyAlignment="1">
      <alignment horizontal="center" vertical="center"/>
    </xf>
    <xf numFmtId="176" fontId="2" fillId="13" borderId="1" xfId="0" applyNumberFormat="1" applyFont="1" applyFill="1" applyBorder="1" applyAlignment="1">
      <alignment horizontal="center" vertical="center"/>
    </xf>
    <xf numFmtId="176" fontId="2" fillId="29" borderId="1" xfId="0" applyNumberFormat="1" applyFont="1" applyFill="1" applyBorder="1" applyAlignment="1">
      <alignment horizontal="center" vertical="center"/>
    </xf>
    <xf numFmtId="178" fontId="2" fillId="3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29" borderId="1" xfId="0" applyFont="1" applyFill="1" applyBorder="1" applyAlignment="1">
      <alignment horizontal="center" vertical="center"/>
    </xf>
    <xf numFmtId="0" fontId="5" fillId="48" borderId="1" xfId="0" applyFont="1" applyFill="1" applyBorder="1" applyAlignment="1">
      <alignment horizontal="center" vertical="center"/>
    </xf>
    <xf numFmtId="0" fontId="5" fillId="30" borderId="1" xfId="0" applyFont="1" applyFill="1" applyBorder="1" applyAlignment="1">
      <alignment horizontal="center" vertical="center"/>
    </xf>
    <xf numFmtId="176" fontId="5" fillId="35" borderId="1" xfId="0" applyNumberFormat="1" applyFont="1" applyFill="1" applyBorder="1" applyAlignment="1">
      <alignment horizontal="center" vertical="center"/>
    </xf>
    <xf numFmtId="176" fontId="2" fillId="49" borderId="1" xfId="0" applyNumberFormat="1" applyFont="1" applyFill="1" applyBorder="1" applyAlignment="1">
      <alignment horizontal="center" vertical="center"/>
    </xf>
    <xf numFmtId="176" fontId="5" fillId="32" borderId="1" xfId="0" applyNumberFormat="1" applyFont="1" applyFill="1" applyBorder="1" applyAlignment="1">
      <alignment horizontal="center" vertical="center"/>
    </xf>
    <xf numFmtId="176" fontId="5" fillId="48" borderId="1" xfId="0" applyNumberFormat="1" applyFont="1" applyFill="1" applyBorder="1" applyAlignment="1">
      <alignment horizontal="center" vertical="center"/>
    </xf>
    <xf numFmtId="176" fontId="5" fillId="31" borderId="1" xfId="0" applyNumberFormat="1" applyFont="1" applyFill="1" applyBorder="1" applyAlignment="1">
      <alignment horizontal="center" vertical="center"/>
    </xf>
    <xf numFmtId="0" fontId="5" fillId="35" borderId="1" xfId="0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5" fillId="28" borderId="1" xfId="0" applyNumberFormat="1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176" fontId="5" fillId="20" borderId="1" xfId="0" applyNumberFormat="1" applyFont="1" applyFill="1" applyBorder="1" applyAlignment="1">
      <alignment horizontal="center" vertical="center"/>
    </xf>
    <xf numFmtId="176" fontId="5" fillId="30" borderId="1" xfId="0" applyNumberFormat="1" applyFont="1" applyFill="1" applyBorder="1" applyAlignment="1">
      <alignment horizontal="center" vertical="center"/>
    </xf>
    <xf numFmtId="176" fontId="5" fillId="49" borderId="1" xfId="0" applyNumberFormat="1" applyFont="1" applyFill="1" applyBorder="1" applyAlignment="1">
      <alignment horizontal="center" vertical="center"/>
    </xf>
    <xf numFmtId="176" fontId="5" fillId="29" borderId="1" xfId="0" applyNumberFormat="1" applyFont="1" applyFill="1" applyBorder="1" applyAlignment="1">
      <alignment horizontal="center" vertical="center"/>
    </xf>
    <xf numFmtId="0" fontId="5" fillId="31" borderId="1" xfId="0" applyFont="1" applyFill="1" applyBorder="1" applyAlignment="1">
      <alignment horizontal="center"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2" fillId="3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83" fontId="2" fillId="31" borderId="1" xfId="0" applyNumberFormat="1" applyFont="1" applyFill="1" applyBorder="1" applyAlignment="1">
      <alignment horizontal="center" vertical="center"/>
    </xf>
    <xf numFmtId="183" fontId="2" fillId="48" borderId="1" xfId="0" applyNumberFormat="1" applyFont="1" applyFill="1" applyBorder="1" applyAlignment="1">
      <alignment horizontal="center" vertical="center"/>
    </xf>
    <xf numFmtId="183" fontId="2" fillId="29" borderId="1" xfId="0" applyNumberFormat="1" applyFont="1" applyFill="1" applyBorder="1" applyAlignment="1">
      <alignment horizontal="center" vertical="center"/>
    </xf>
    <xf numFmtId="183" fontId="2" fillId="35" borderId="1" xfId="0" applyNumberFormat="1" applyFont="1" applyFill="1" applyBorder="1" applyAlignment="1">
      <alignment horizontal="center" vertical="center"/>
    </xf>
    <xf numFmtId="183" fontId="2" fillId="12" borderId="1" xfId="0" applyNumberFormat="1" applyFont="1" applyFill="1" applyBorder="1" applyAlignment="1">
      <alignment horizontal="center" vertical="center"/>
    </xf>
    <xf numFmtId="183" fontId="2" fillId="28" borderId="1" xfId="0" applyNumberFormat="1" applyFont="1" applyFill="1" applyBorder="1" applyAlignment="1">
      <alignment horizontal="center" vertical="center"/>
    </xf>
    <xf numFmtId="183" fontId="2" fillId="5" borderId="1" xfId="0" applyNumberFormat="1" applyFont="1" applyFill="1" applyBorder="1" applyAlignment="1">
      <alignment horizontal="center" vertical="center"/>
    </xf>
    <xf numFmtId="183" fontId="2" fillId="30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179" fontId="2" fillId="30" borderId="1" xfId="0" applyNumberFormat="1" applyFont="1" applyFill="1" applyBorder="1" applyAlignment="1">
      <alignment horizontal="center" vertical="center"/>
    </xf>
    <xf numFmtId="181" fontId="2" fillId="30" borderId="1" xfId="0" applyNumberFormat="1" applyFont="1" applyFill="1" applyBorder="1" applyAlignment="1">
      <alignment horizontal="center" vertical="center"/>
    </xf>
    <xf numFmtId="181" fontId="2" fillId="48" borderId="1" xfId="0" applyNumberFormat="1" applyFont="1" applyFill="1" applyBorder="1" applyAlignment="1">
      <alignment horizontal="center" vertical="center"/>
    </xf>
    <xf numFmtId="179" fontId="2" fillId="12" borderId="1" xfId="0" applyNumberFormat="1" applyFont="1" applyFill="1" applyBorder="1" applyAlignment="1">
      <alignment horizontal="center" vertical="center"/>
    </xf>
    <xf numFmtId="181" fontId="2" fillId="5" borderId="1" xfId="0" applyNumberFormat="1" applyFont="1" applyFill="1" applyBorder="1" applyAlignment="1">
      <alignment horizontal="center" vertical="center"/>
    </xf>
    <xf numFmtId="179" fontId="2" fillId="20" borderId="1" xfId="0" applyNumberFormat="1" applyFont="1" applyFill="1" applyBorder="1" applyAlignment="1">
      <alignment horizontal="center" vertical="center"/>
    </xf>
    <xf numFmtId="179" fontId="2" fillId="8" borderId="1" xfId="0" applyNumberFormat="1" applyFont="1" applyFill="1" applyBorder="1" applyAlignment="1">
      <alignment horizontal="center" vertical="center"/>
    </xf>
    <xf numFmtId="181" fontId="2" fillId="12" borderId="1" xfId="0" applyNumberFormat="1" applyFont="1" applyFill="1" applyBorder="1" applyAlignment="1">
      <alignment horizontal="center" vertical="center"/>
    </xf>
    <xf numFmtId="181" fontId="2" fillId="8" borderId="1" xfId="0" applyNumberFormat="1" applyFont="1" applyFill="1" applyBorder="1" applyAlignment="1">
      <alignment horizontal="center" vertical="center"/>
    </xf>
    <xf numFmtId="179" fontId="2" fillId="34" borderId="1" xfId="0" applyNumberFormat="1" applyFont="1" applyFill="1" applyBorder="1" applyAlignment="1">
      <alignment horizontal="center" vertical="center"/>
    </xf>
    <xf numFmtId="179" fontId="2" fillId="31" borderId="1" xfId="0" applyNumberFormat="1" applyFont="1" applyFill="1" applyBorder="1" applyAlignment="1">
      <alignment horizontal="center" vertical="center"/>
    </xf>
    <xf numFmtId="179" fontId="2" fillId="29" borderId="1" xfId="0" applyNumberFormat="1" applyFont="1" applyFill="1" applyBorder="1" applyAlignment="1">
      <alignment horizontal="center" vertical="center"/>
    </xf>
    <xf numFmtId="179" fontId="2" fillId="28" borderId="1" xfId="0" applyNumberFormat="1" applyFont="1" applyFill="1" applyBorder="1" applyAlignment="1">
      <alignment horizontal="center" vertical="center"/>
    </xf>
    <xf numFmtId="179" fontId="2" fillId="48" borderId="1" xfId="0" applyNumberFormat="1" applyFont="1" applyFill="1" applyBorder="1" applyAlignment="1">
      <alignment horizontal="center" vertical="center"/>
    </xf>
    <xf numFmtId="181" fontId="2" fillId="29" borderId="1" xfId="0" applyNumberFormat="1" applyFont="1" applyFill="1" applyBorder="1" applyAlignment="1">
      <alignment horizontal="center" vertical="center"/>
    </xf>
    <xf numFmtId="181" fontId="2" fillId="35" borderId="1" xfId="0" applyNumberFormat="1" applyFont="1" applyFill="1" applyBorder="1" applyAlignment="1">
      <alignment horizontal="center" vertical="center"/>
    </xf>
    <xf numFmtId="181" fontId="2" fillId="28" borderId="1" xfId="0" applyNumberFormat="1" applyFont="1" applyFill="1" applyBorder="1" applyAlignment="1">
      <alignment horizontal="center" vertical="center"/>
    </xf>
    <xf numFmtId="179" fontId="2" fillId="35" borderId="1" xfId="0" applyNumberFormat="1" applyFont="1" applyFill="1" applyBorder="1" applyAlignment="1">
      <alignment horizontal="center" vertical="center"/>
    </xf>
    <xf numFmtId="179" fontId="5" fillId="20" borderId="1" xfId="0" applyNumberFormat="1" applyFont="1" applyFill="1" applyBorder="1" applyAlignment="1">
      <alignment horizontal="center" vertical="center"/>
    </xf>
    <xf numFmtId="179" fontId="5" fillId="5" borderId="1" xfId="0" applyNumberFormat="1" applyFont="1" applyFill="1" applyBorder="1" applyAlignment="1">
      <alignment horizontal="center" vertical="center"/>
    </xf>
    <xf numFmtId="179" fontId="5" fillId="12" borderId="1" xfId="0" applyNumberFormat="1" applyFont="1" applyFill="1" applyBorder="1" applyAlignment="1">
      <alignment horizontal="center" vertical="center"/>
    </xf>
    <xf numFmtId="179" fontId="5" fillId="8" borderId="1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 vertical="center"/>
    </xf>
    <xf numFmtId="179" fontId="5" fillId="30" borderId="1" xfId="0" applyNumberFormat="1" applyFont="1" applyFill="1" applyBorder="1" applyAlignment="1">
      <alignment horizontal="center" vertical="center"/>
    </xf>
    <xf numFmtId="179" fontId="5" fillId="48" borderId="1" xfId="0" applyNumberFormat="1" applyFont="1" applyFill="1" applyBorder="1" applyAlignment="1">
      <alignment horizontal="center" vertical="center"/>
    </xf>
    <xf numFmtId="179" fontId="5" fillId="28" borderId="1" xfId="0" applyNumberFormat="1" applyFont="1" applyFill="1" applyBorder="1" applyAlignment="1">
      <alignment horizontal="center" vertical="center"/>
    </xf>
    <xf numFmtId="179" fontId="5" fillId="29" borderId="1" xfId="0" applyNumberFormat="1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32" borderId="1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180" fontId="2" fillId="48" borderId="1" xfId="0" applyNumberFormat="1" applyFont="1" applyFill="1" applyBorder="1" applyAlignment="1">
      <alignment horizontal="center" vertical="center"/>
    </xf>
    <xf numFmtId="180" fontId="2" fillId="31" borderId="1" xfId="0" applyNumberFormat="1" applyFont="1" applyFill="1" applyBorder="1" applyAlignment="1">
      <alignment horizontal="center" vertical="center"/>
    </xf>
    <xf numFmtId="180" fontId="2" fillId="28" borderId="1" xfId="0" applyNumberFormat="1" applyFont="1" applyFill="1" applyBorder="1" applyAlignment="1">
      <alignment horizontal="center" vertical="center"/>
    </xf>
    <xf numFmtId="180" fontId="2" fillId="29" borderId="1" xfId="0" applyNumberFormat="1" applyFont="1" applyFill="1" applyBorder="1" applyAlignment="1">
      <alignment horizontal="center" vertical="center"/>
    </xf>
    <xf numFmtId="181" fontId="2" fillId="20" borderId="1" xfId="0" applyNumberFormat="1" applyFont="1" applyFill="1" applyBorder="1" applyAlignment="1">
      <alignment horizontal="center" vertical="center"/>
    </xf>
    <xf numFmtId="180" fontId="2" fillId="35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 applyAlignment="1">
      <alignment horizontal="center" vertical="center"/>
    </xf>
    <xf numFmtId="178" fontId="2" fillId="20" borderId="1" xfId="0" applyNumberFormat="1" applyFont="1" applyFill="1" applyBorder="1" applyAlignment="1">
      <alignment horizontal="center" vertical="center"/>
    </xf>
    <xf numFmtId="178" fontId="2" fillId="5" borderId="1" xfId="0" applyNumberFormat="1" applyFont="1" applyFill="1" applyBorder="1" applyAlignment="1">
      <alignment horizontal="center" vertical="center"/>
    </xf>
    <xf numFmtId="177" fontId="2" fillId="32" borderId="1" xfId="0" applyNumberFormat="1" applyFont="1" applyFill="1" applyBorder="1" applyAlignment="1">
      <alignment horizontal="center" vertical="center"/>
    </xf>
    <xf numFmtId="177" fontId="2" fillId="31" borderId="1" xfId="0" applyNumberFormat="1" applyFont="1" applyFill="1" applyBorder="1" applyAlignment="1">
      <alignment horizontal="center" vertical="center"/>
    </xf>
    <xf numFmtId="178" fontId="2" fillId="12" borderId="1" xfId="0" applyNumberFormat="1" applyFont="1" applyFill="1" applyBorder="1" applyAlignment="1">
      <alignment horizontal="center" vertical="center"/>
    </xf>
    <xf numFmtId="178" fontId="2" fillId="49" borderId="1" xfId="0" applyNumberFormat="1" applyFont="1" applyFill="1" applyBorder="1" applyAlignment="1">
      <alignment horizontal="center" vertical="center"/>
    </xf>
    <xf numFmtId="177" fontId="2" fillId="49" borderId="1" xfId="0" applyNumberFormat="1" applyFont="1" applyFill="1" applyBorder="1" applyAlignment="1">
      <alignment horizontal="center" vertical="center"/>
    </xf>
    <xf numFmtId="0" fontId="2" fillId="11" borderId="0" xfId="0" quotePrefix="1" applyFont="1" applyFill="1" applyAlignment="1">
      <alignment horizontal="center" vertical="center"/>
    </xf>
    <xf numFmtId="185" fontId="2" fillId="12" borderId="1" xfId="0" applyNumberFormat="1" applyFont="1" applyFill="1" applyBorder="1" applyAlignment="1">
      <alignment horizontal="center" vertical="center"/>
    </xf>
    <xf numFmtId="180" fontId="2" fillId="12" borderId="1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183" fontId="2" fillId="32" borderId="1" xfId="0" applyNumberFormat="1" applyFont="1" applyFill="1" applyBorder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179" fontId="2" fillId="13" borderId="1" xfId="0" applyNumberFormat="1" applyFont="1" applyFill="1" applyBorder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181" fontId="2" fillId="32" borderId="1" xfId="0" applyNumberFormat="1" applyFont="1" applyFill="1" applyBorder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181" fontId="2" fillId="31" borderId="1" xfId="0" applyNumberFormat="1" applyFont="1" applyFill="1" applyBorder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179" fontId="2" fillId="10" borderId="1" xfId="0" applyNumberFormat="1" applyFont="1" applyFill="1" applyBorder="1" applyAlignment="1">
      <alignment horizontal="center" vertical="center"/>
    </xf>
    <xf numFmtId="179" fontId="2" fillId="33" borderId="1" xfId="0" applyNumberFormat="1" applyFont="1" applyFill="1" applyBorder="1" applyAlignment="1">
      <alignment horizontal="center" vertical="center"/>
    </xf>
    <xf numFmtId="179" fontId="2" fillId="11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/>
    </xf>
    <xf numFmtId="0" fontId="2" fillId="20" borderId="5" xfId="0" applyFont="1" applyFill="1" applyBorder="1" applyAlignment="1">
      <alignment horizontal="center" vertical="center"/>
    </xf>
    <xf numFmtId="0" fontId="2" fillId="35" borderId="5" xfId="0" applyFont="1" applyFill="1" applyBorder="1" applyAlignment="1">
      <alignment horizontal="center" vertical="center"/>
    </xf>
    <xf numFmtId="0" fontId="2" fillId="28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0" borderId="5" xfId="0" applyFont="1" applyFill="1" applyBorder="1" applyAlignment="1">
      <alignment horizontal="center" vertical="center"/>
    </xf>
    <xf numFmtId="0" fontId="2" fillId="19" borderId="4" xfId="0" applyFont="1" applyFill="1" applyBorder="1" applyAlignment="1">
      <alignment horizontal="center" vertical="center"/>
    </xf>
    <xf numFmtId="0" fontId="2" fillId="46" borderId="4" xfId="0" applyFont="1" applyFill="1" applyBorder="1" applyAlignment="1">
      <alignment horizontal="center" vertical="center"/>
    </xf>
    <xf numFmtId="0" fontId="2" fillId="50" borderId="1" xfId="0" applyFont="1" applyFill="1" applyBorder="1" applyAlignment="1">
      <alignment horizontal="center" vertical="center"/>
    </xf>
    <xf numFmtId="0" fontId="2" fillId="51" borderId="1" xfId="0" applyFont="1" applyFill="1" applyBorder="1" applyAlignment="1">
      <alignment horizontal="center" vertical="center"/>
    </xf>
    <xf numFmtId="0" fontId="2" fillId="52" borderId="1" xfId="0" applyFont="1" applyFill="1" applyBorder="1" applyAlignment="1">
      <alignment horizontal="center" vertical="center"/>
    </xf>
    <xf numFmtId="0" fontId="2" fillId="53" borderId="1" xfId="0" applyFont="1" applyFill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176" fontId="2" fillId="6" borderId="1" xfId="0" quotePrefix="1" applyNumberFormat="1" applyFont="1" applyFill="1" applyBorder="1" applyAlignment="1">
      <alignment horizontal="center" vertical="center"/>
    </xf>
    <xf numFmtId="0" fontId="2" fillId="49" borderId="1" xfId="0" quotePrefix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9" fontId="2" fillId="32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83" fontId="5" fillId="35" borderId="1" xfId="0" applyNumberFormat="1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29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76" fontId="2" fillId="6" borderId="2" xfId="0" applyNumberFormat="1" applyFont="1" applyFill="1" applyBorder="1" applyAlignment="1">
      <alignment horizontal="center" vertical="center"/>
    </xf>
    <xf numFmtId="176" fontId="2" fillId="6" borderId="6" xfId="0" applyNumberFormat="1" applyFont="1" applyFill="1" applyBorder="1" applyAlignment="1">
      <alignment horizontal="center" vertical="center"/>
    </xf>
    <xf numFmtId="176" fontId="2" fillId="6" borderId="3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9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76" fontId="2" fillId="14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6" fontId="2" fillId="2" borderId="2" xfId="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7" fontId="2" fillId="2" borderId="3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6" fontId="2" fillId="42" borderId="1" xfId="0" applyNumberFormat="1" applyFont="1" applyFill="1" applyBorder="1" applyAlignment="1">
      <alignment horizontal="center" vertical="center"/>
    </xf>
    <xf numFmtId="184" fontId="2" fillId="24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21"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AC6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ont>
        <strike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EC2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</dxfs>
  <tableStyles count="0" defaultTableStyle="TableStyleMedium2" defaultPivotStyle="PivotStyleMedium9"/>
  <colors>
    <mruColors>
      <color rgb="FFFC9EC2"/>
      <color rgb="FFFFCCFF"/>
      <color rgb="FFE7831D"/>
      <color rgb="FFFC9AC6"/>
      <color rgb="FF14D2A0"/>
      <color rgb="FFFA5C98"/>
      <color rgb="FF00FF99"/>
      <color rgb="FFCCFF66"/>
      <color rgb="FF7DF3D4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BV40"/>
  <sheetViews>
    <sheetView workbookViewId="0">
      <pane ySplit="1" topLeftCell="A2" activePane="bottomLeft" state="frozen"/>
      <selection pane="bottomLeft" activeCell="BQ6" sqref="BQ6"/>
    </sheetView>
  </sheetViews>
  <sheetFormatPr defaultColWidth="6.4609375" defaultRowHeight="12.9" x14ac:dyDescent="0.3"/>
  <cols>
    <col min="1" max="1" width="2.23046875" style="34" customWidth="1"/>
    <col min="2" max="9" width="2.23046875" style="2" customWidth="1"/>
    <col min="10" max="10" width="2.23046875" style="34" customWidth="1"/>
    <col min="11" max="18" width="2.23046875" style="2" customWidth="1"/>
    <col min="19" max="19" width="2.23046875" style="34" customWidth="1"/>
    <col min="20" max="27" width="2.23046875" style="2" customWidth="1"/>
    <col min="28" max="28" width="5.61328125" style="2" bestFit="1" customWidth="1"/>
    <col min="29" max="29" width="5.84375" style="2" bestFit="1" customWidth="1"/>
    <col min="30" max="30" width="5.23046875" style="2" bestFit="1" customWidth="1"/>
    <col min="31" max="31" width="4.765625" style="2" bestFit="1" customWidth="1"/>
    <col min="32" max="32" width="6.07421875" style="2" bestFit="1" customWidth="1"/>
    <col min="33" max="33" width="5.61328125" style="2" bestFit="1" customWidth="1"/>
    <col min="34" max="34" width="6.3046875" style="2" bestFit="1" customWidth="1"/>
    <col min="35" max="36" width="6.53515625" style="2" bestFit="1" customWidth="1"/>
    <col min="37" max="37" width="5.84375" style="2" bestFit="1" customWidth="1"/>
    <col min="38" max="38" width="5.4609375" style="2" bestFit="1" customWidth="1"/>
    <col min="39" max="39" width="5.69140625" style="2" bestFit="1" customWidth="1"/>
    <col min="40" max="40" width="7.69140625" style="2" bestFit="1" customWidth="1"/>
    <col min="41" max="41" width="7.53515625" style="2" bestFit="1" customWidth="1"/>
    <col min="42" max="42" width="2.61328125" style="36" customWidth="1"/>
    <col min="43" max="43" width="7.15234375" style="37" bestFit="1" customWidth="1"/>
    <col min="44" max="52" width="2" style="2" bestFit="1" customWidth="1"/>
    <col min="53" max="74" width="2.921875" style="2" bestFit="1" customWidth="1"/>
    <col min="75" max="16384" width="6.4609375" style="36"/>
  </cols>
  <sheetData>
    <row r="1" spans="1:74" x14ac:dyDescent="0.3">
      <c r="A1" s="34" t="s">
        <v>205</v>
      </c>
      <c r="B1" s="2" t="s">
        <v>329</v>
      </c>
      <c r="D1" s="2" t="s">
        <v>100</v>
      </c>
      <c r="E1" s="2" t="s">
        <v>156</v>
      </c>
      <c r="F1" s="2" t="s">
        <v>239</v>
      </c>
      <c r="G1" s="2" t="s">
        <v>330</v>
      </c>
      <c r="H1" s="2" t="s">
        <v>383</v>
      </c>
      <c r="J1" s="34" t="s">
        <v>205</v>
      </c>
      <c r="K1" s="2" t="s">
        <v>329</v>
      </c>
      <c r="M1" s="2" t="s">
        <v>100</v>
      </c>
      <c r="N1" s="2" t="s">
        <v>156</v>
      </c>
      <c r="O1" s="2" t="s">
        <v>239</v>
      </c>
      <c r="P1" s="2" t="s">
        <v>330</v>
      </c>
      <c r="Q1" s="2" t="s">
        <v>383</v>
      </c>
      <c r="S1" s="34" t="s">
        <v>205</v>
      </c>
      <c r="T1" s="2" t="s">
        <v>329</v>
      </c>
      <c r="V1" s="2" t="s">
        <v>100</v>
      </c>
      <c r="W1" s="2" t="s">
        <v>156</v>
      </c>
      <c r="X1" s="2" t="s">
        <v>239</v>
      </c>
      <c r="Y1" s="2" t="s">
        <v>330</v>
      </c>
      <c r="Z1" s="2" t="s">
        <v>383</v>
      </c>
      <c r="AB1" s="35" t="s">
        <v>112</v>
      </c>
      <c r="AC1" s="35" t="s">
        <v>113</v>
      </c>
      <c r="AD1" s="35" t="s">
        <v>114</v>
      </c>
      <c r="AE1" s="35" t="s">
        <v>115</v>
      </c>
      <c r="AF1" s="35" t="s">
        <v>116</v>
      </c>
      <c r="AG1" s="35" t="s">
        <v>117</v>
      </c>
      <c r="AH1" s="35" t="s">
        <v>118</v>
      </c>
      <c r="AI1" s="35" t="s">
        <v>142</v>
      </c>
      <c r="AJ1" s="35" t="s">
        <v>143</v>
      </c>
      <c r="AK1" s="35" t="s">
        <v>119</v>
      </c>
      <c r="AL1" s="35" t="s">
        <v>120</v>
      </c>
      <c r="AM1" s="35" t="s">
        <v>121</v>
      </c>
      <c r="AN1" s="35" t="s">
        <v>122</v>
      </c>
      <c r="AO1" s="35" t="s">
        <v>123</v>
      </c>
      <c r="AQ1" s="41" t="s">
        <v>228</v>
      </c>
      <c r="AR1" s="35">
        <v>1</v>
      </c>
      <c r="AS1" s="35">
        <v>2</v>
      </c>
      <c r="AT1" s="35">
        <v>3</v>
      </c>
      <c r="AU1" s="35">
        <v>4</v>
      </c>
      <c r="AV1" s="35">
        <v>5</v>
      </c>
      <c r="AW1" s="35">
        <v>6</v>
      </c>
      <c r="AX1" s="35">
        <v>7</v>
      </c>
      <c r="AY1" s="35">
        <v>8</v>
      </c>
      <c r="AZ1" s="35">
        <v>9</v>
      </c>
      <c r="BA1" s="35">
        <v>10</v>
      </c>
      <c r="BB1" s="35">
        <v>11</v>
      </c>
      <c r="BC1" s="35">
        <v>12</v>
      </c>
      <c r="BD1" s="35">
        <v>13</v>
      </c>
      <c r="BE1" s="35">
        <v>14</v>
      </c>
      <c r="BF1" s="35">
        <v>15</v>
      </c>
      <c r="BG1" s="35">
        <v>16</v>
      </c>
      <c r="BH1" s="35">
        <v>17</v>
      </c>
      <c r="BI1" s="35">
        <v>18</v>
      </c>
      <c r="BJ1" s="35">
        <v>19</v>
      </c>
      <c r="BK1" s="35">
        <v>20</v>
      </c>
      <c r="BL1" s="35">
        <v>21</v>
      </c>
      <c r="BM1" s="35">
        <v>22</v>
      </c>
      <c r="BN1" s="35">
        <v>23</v>
      </c>
      <c r="BO1" s="35">
        <v>24</v>
      </c>
      <c r="BP1" s="35">
        <v>25</v>
      </c>
      <c r="BQ1" s="35">
        <v>26</v>
      </c>
      <c r="BR1" s="35">
        <v>27</v>
      </c>
      <c r="BS1" s="35">
        <v>28</v>
      </c>
      <c r="BT1" s="35">
        <v>29</v>
      </c>
      <c r="BU1" s="35">
        <v>30</v>
      </c>
      <c r="BV1" s="35">
        <v>31</v>
      </c>
    </row>
    <row r="2" spans="1:74" x14ac:dyDescent="0.3">
      <c r="AB2" s="105">
        <v>0</v>
      </c>
      <c r="AE2" s="64">
        <v>8</v>
      </c>
      <c r="AF2" s="145">
        <v>69040.390625</v>
      </c>
      <c r="AG2" s="146"/>
      <c r="AH2" s="147" t="s">
        <v>716</v>
      </c>
      <c r="AJ2" s="145"/>
      <c r="AK2" s="146"/>
      <c r="AL2" s="147" t="s">
        <v>827</v>
      </c>
      <c r="AM2" s="2" t="s">
        <v>384</v>
      </c>
      <c r="AN2" s="2" t="s">
        <v>227</v>
      </c>
      <c r="AQ2" s="37">
        <v>45658</v>
      </c>
      <c r="BG2" s="2">
        <v>4</v>
      </c>
      <c r="BH2" s="2">
        <v>5</v>
      </c>
      <c r="BI2" s="2">
        <v>6</v>
      </c>
      <c r="BM2" s="2">
        <v>3</v>
      </c>
    </row>
    <row r="3" spans="1:74" x14ac:dyDescent="0.3">
      <c r="AB3" s="35" t="str">
        <f>IF(AB2=0,"NF",IF(AB2=0.5,"Flag",IF(AB2=0.25,"All","Fool")))</f>
        <v>NF</v>
      </c>
      <c r="AE3" s="65">
        <v>7.75</v>
      </c>
      <c r="AF3" s="145">
        <v>69040.4140625</v>
      </c>
      <c r="AG3" s="146">
        <v>2.34375E-2</v>
      </c>
      <c r="AH3" s="147" t="s">
        <v>717</v>
      </c>
      <c r="AJ3" s="145"/>
      <c r="AK3" s="146"/>
      <c r="AL3" s="147" t="s">
        <v>828</v>
      </c>
      <c r="AM3" s="103" t="s">
        <v>90</v>
      </c>
      <c r="AN3" s="103" t="s">
        <v>207</v>
      </c>
      <c r="AO3" s="103" t="s">
        <v>208</v>
      </c>
      <c r="AQ3" s="37">
        <v>45689</v>
      </c>
      <c r="AU3" s="2">
        <v>2</v>
      </c>
      <c r="AV3" s="2">
        <v>3</v>
      </c>
      <c r="AW3" s="2">
        <v>4</v>
      </c>
      <c r="AX3" s="2">
        <v>5</v>
      </c>
      <c r="AY3" s="2">
        <v>6</v>
      </c>
      <c r="AZ3" s="2">
        <v>7</v>
      </c>
      <c r="BB3" s="2">
        <v>2</v>
      </c>
      <c r="BC3" s="2">
        <v>3</v>
      </c>
      <c r="BD3" s="2">
        <v>4</v>
      </c>
      <c r="BE3" s="2">
        <v>5</v>
      </c>
      <c r="BG3" s="2">
        <v>7</v>
      </c>
      <c r="BH3" s="2">
        <v>1</v>
      </c>
      <c r="BI3" s="2">
        <v>2</v>
      </c>
      <c r="BJ3" s="2">
        <v>3</v>
      </c>
      <c r="BK3" s="2">
        <v>4</v>
      </c>
      <c r="BL3" s="2">
        <v>5</v>
      </c>
      <c r="BM3" s="2">
        <v>6</v>
      </c>
      <c r="BN3" s="2">
        <v>7</v>
      </c>
      <c r="BO3" s="2">
        <v>1</v>
      </c>
      <c r="BP3" s="2">
        <v>2</v>
      </c>
      <c r="BQ3" s="2">
        <v>3</v>
      </c>
      <c r="BR3" s="2">
        <v>4</v>
      </c>
      <c r="BS3" s="2">
        <v>5</v>
      </c>
    </row>
    <row r="4" spans="1:74" x14ac:dyDescent="0.3">
      <c r="AB4" s="110"/>
      <c r="AE4" s="67">
        <v>7.5</v>
      </c>
      <c r="AF4" s="145">
        <v>69040.421875</v>
      </c>
      <c r="AG4" s="146">
        <v>7.8125E-3</v>
      </c>
      <c r="AH4" s="147" t="s">
        <v>718</v>
      </c>
      <c r="AJ4" s="145"/>
      <c r="AK4" s="146"/>
      <c r="AL4" s="147" t="s">
        <v>829</v>
      </c>
      <c r="AM4" s="103" t="s">
        <v>200</v>
      </c>
      <c r="AN4" s="103" t="s">
        <v>209</v>
      </c>
      <c r="AO4" s="103" t="s">
        <v>208</v>
      </c>
      <c r="AQ4" s="37">
        <v>45717</v>
      </c>
      <c r="AR4" s="2">
        <v>6</v>
      </c>
      <c r="AS4" s="2">
        <v>7</v>
      </c>
      <c r="AU4" s="2">
        <v>2</v>
      </c>
      <c r="AV4" s="2">
        <v>3</v>
      </c>
      <c r="AW4" s="2">
        <v>4</v>
      </c>
      <c r="AX4" s="2">
        <v>5</v>
      </c>
      <c r="AZ4" s="2">
        <v>7</v>
      </c>
      <c r="BA4" s="2">
        <v>1</v>
      </c>
      <c r="BB4" s="2">
        <v>2</v>
      </c>
      <c r="BD4" s="2">
        <v>4</v>
      </c>
      <c r="BE4" s="2">
        <v>5</v>
      </c>
      <c r="BF4" s="2">
        <v>6</v>
      </c>
      <c r="BG4" s="2">
        <v>7</v>
      </c>
      <c r="BH4" s="2">
        <v>1</v>
      </c>
      <c r="BI4" s="2">
        <v>2</v>
      </c>
      <c r="BJ4" s="2">
        <v>3</v>
      </c>
      <c r="BM4" s="2">
        <v>6</v>
      </c>
      <c r="BN4" s="2">
        <v>7</v>
      </c>
      <c r="BO4" s="2">
        <v>1</v>
      </c>
      <c r="BP4" s="2">
        <v>2</v>
      </c>
      <c r="BQ4" s="2">
        <v>3</v>
      </c>
      <c r="BR4" s="2">
        <v>4</v>
      </c>
      <c r="BS4" s="2">
        <v>5</v>
      </c>
      <c r="BT4" s="2">
        <v>6</v>
      </c>
      <c r="BU4" s="2">
        <v>7</v>
      </c>
    </row>
    <row r="5" spans="1:74" x14ac:dyDescent="0.3">
      <c r="AB5" s="110"/>
      <c r="AE5" s="68">
        <v>7.25</v>
      </c>
      <c r="AF5" s="145">
        <v>69040.421875</v>
      </c>
      <c r="AG5" s="146">
        <v>0</v>
      </c>
      <c r="AH5" s="147" t="s">
        <v>719</v>
      </c>
      <c r="AJ5" s="145"/>
      <c r="AK5" s="146"/>
      <c r="AL5" s="147"/>
      <c r="AM5" s="103" t="s">
        <v>182</v>
      </c>
      <c r="AN5" s="103" t="s">
        <v>209</v>
      </c>
      <c r="AO5" s="103" t="s">
        <v>208</v>
      </c>
      <c r="AQ5" s="37">
        <v>45748</v>
      </c>
      <c r="AS5" s="2">
        <v>3</v>
      </c>
      <c r="AT5" s="2">
        <v>4</v>
      </c>
      <c r="AU5" s="2">
        <v>5</v>
      </c>
      <c r="AV5" s="2">
        <v>6</v>
      </c>
      <c r="AW5" s="2">
        <v>7</v>
      </c>
      <c r="AX5" s="2">
        <v>1</v>
      </c>
      <c r="AY5" s="2">
        <v>2</v>
      </c>
      <c r="AZ5" s="2">
        <v>3</v>
      </c>
      <c r="BA5" s="2">
        <v>4</v>
      </c>
      <c r="BB5" s="2">
        <v>5</v>
      </c>
      <c r="BC5" s="2">
        <v>6</v>
      </c>
      <c r="BD5" s="2">
        <v>7</v>
      </c>
      <c r="BE5" s="2">
        <v>1</v>
      </c>
      <c r="BF5" s="2">
        <v>2</v>
      </c>
      <c r="BG5" s="2">
        <v>3</v>
      </c>
      <c r="BH5" s="2">
        <v>4</v>
      </c>
      <c r="BI5" s="2">
        <v>5</v>
      </c>
      <c r="BJ5" s="2">
        <v>6</v>
      </c>
      <c r="BK5" s="2">
        <v>7</v>
      </c>
      <c r="BL5" s="2">
        <v>1</v>
      </c>
      <c r="BM5" s="2">
        <v>2</v>
      </c>
      <c r="BN5" s="2">
        <v>3</v>
      </c>
      <c r="BO5" s="2">
        <v>4</v>
      </c>
      <c r="BP5" s="2">
        <v>5</v>
      </c>
      <c r="BQ5" s="2">
        <v>6</v>
      </c>
      <c r="BR5" s="2">
        <v>7</v>
      </c>
      <c r="BS5" s="2">
        <v>1</v>
      </c>
      <c r="BT5" s="2">
        <v>2</v>
      </c>
      <c r="BU5" s="2">
        <v>3</v>
      </c>
    </row>
    <row r="6" spans="1:74" x14ac:dyDescent="0.3">
      <c r="AB6" s="110" t="s">
        <v>380</v>
      </c>
      <c r="AC6" s="2" t="s">
        <v>381</v>
      </c>
      <c r="AD6" s="2" t="s">
        <v>382</v>
      </c>
      <c r="AE6" s="69">
        <v>7</v>
      </c>
      <c r="AF6" s="145">
        <v>69040.4296875</v>
      </c>
      <c r="AG6" s="146">
        <v>7.8125E-3</v>
      </c>
      <c r="AH6" s="147" t="s">
        <v>720</v>
      </c>
      <c r="AJ6" s="145"/>
      <c r="AK6" s="146"/>
      <c r="AL6" s="147"/>
      <c r="AM6" s="103" t="s">
        <v>183</v>
      </c>
      <c r="AN6" s="103" t="s">
        <v>209</v>
      </c>
      <c r="AO6" s="103" t="s">
        <v>208</v>
      </c>
      <c r="AQ6" s="37">
        <v>45778</v>
      </c>
      <c r="AR6" s="2">
        <v>4</v>
      </c>
      <c r="AS6" s="2">
        <v>5</v>
      </c>
      <c r="AT6" s="2">
        <v>6</v>
      </c>
      <c r="AU6" s="2">
        <v>7</v>
      </c>
      <c r="AV6" s="2">
        <v>1</v>
      </c>
      <c r="AW6" s="2">
        <v>2</v>
      </c>
      <c r="AY6" s="2">
        <v>4</v>
      </c>
      <c r="AZ6" s="2">
        <v>5</v>
      </c>
      <c r="BD6" s="2">
        <v>2</v>
      </c>
      <c r="BE6" s="2">
        <v>3</v>
      </c>
      <c r="BF6" s="2">
        <v>4</v>
      </c>
      <c r="BG6" s="2">
        <v>5</v>
      </c>
      <c r="BH6" s="2">
        <v>6</v>
      </c>
      <c r="BK6" s="2">
        <v>2</v>
      </c>
      <c r="BN6" s="2">
        <v>5</v>
      </c>
      <c r="BO6" s="2">
        <v>6</v>
      </c>
      <c r="BP6" s="2">
        <v>7</v>
      </c>
      <c r="BR6" s="2">
        <v>2</v>
      </c>
      <c r="BS6" s="2">
        <v>3</v>
      </c>
      <c r="BT6" s="2">
        <v>4</v>
      </c>
      <c r="BU6" s="2">
        <v>5</v>
      </c>
      <c r="BV6" s="2">
        <v>6</v>
      </c>
    </row>
    <row r="7" spans="1:74" x14ac:dyDescent="0.3">
      <c r="AB7" s="151">
        <v>36</v>
      </c>
      <c r="AC7" s="105">
        <v>6</v>
      </c>
      <c r="AD7" s="105">
        <v>33</v>
      </c>
      <c r="AE7" s="70">
        <v>6.75</v>
      </c>
      <c r="AF7" s="145">
        <v>69040.4296875</v>
      </c>
      <c r="AG7" s="146">
        <v>0</v>
      </c>
      <c r="AH7" s="147" t="s">
        <v>721</v>
      </c>
      <c r="AJ7" s="145"/>
      <c r="AK7" s="146"/>
      <c r="AL7" s="147"/>
      <c r="AM7" s="2" t="s">
        <v>184</v>
      </c>
      <c r="AN7" s="2" t="s">
        <v>210</v>
      </c>
      <c r="AO7" s="2" t="s">
        <v>208</v>
      </c>
      <c r="AQ7" s="37">
        <v>45809</v>
      </c>
      <c r="AR7" s="2">
        <v>7</v>
      </c>
      <c r="AS7" s="2">
        <v>1</v>
      </c>
    </row>
    <row r="8" spans="1:74" x14ac:dyDescent="0.3">
      <c r="AB8" s="110"/>
      <c r="AE8" s="71">
        <v>6.5</v>
      </c>
      <c r="AF8" s="145">
        <v>69040.4375</v>
      </c>
      <c r="AG8" s="146">
        <v>7.8125E-3</v>
      </c>
      <c r="AH8" s="147" t="s">
        <v>722</v>
      </c>
      <c r="AJ8" s="145"/>
      <c r="AK8" s="146"/>
      <c r="AL8" s="147"/>
      <c r="AM8" s="2" t="s">
        <v>185</v>
      </c>
      <c r="AN8" s="2" t="s">
        <v>211</v>
      </c>
      <c r="AO8" s="2" t="s">
        <v>208</v>
      </c>
      <c r="AQ8" s="37">
        <v>45839</v>
      </c>
    </row>
    <row r="9" spans="1:74" x14ac:dyDescent="0.3">
      <c r="AB9" s="2" t="s">
        <v>202</v>
      </c>
      <c r="AC9" s="2" t="s">
        <v>192</v>
      </c>
      <c r="AD9" s="2" t="s">
        <v>345</v>
      </c>
      <c r="AE9" s="72">
        <v>6.25</v>
      </c>
      <c r="AF9" s="145">
        <v>69040.7578125</v>
      </c>
      <c r="AG9" s="146">
        <v>0.3203125</v>
      </c>
      <c r="AH9" s="147" t="s">
        <v>723</v>
      </c>
      <c r="AJ9" s="145"/>
      <c r="AK9" s="146"/>
      <c r="AL9" s="147"/>
      <c r="AM9" s="14" t="s">
        <v>186</v>
      </c>
      <c r="AN9" s="14" t="s">
        <v>212</v>
      </c>
      <c r="AQ9" s="37">
        <v>45870</v>
      </c>
    </row>
    <row r="10" spans="1:74" x14ac:dyDescent="0.3">
      <c r="AB10" s="105">
        <v>15</v>
      </c>
      <c r="AC10" s="105">
        <v>8</v>
      </c>
      <c r="AD10" s="105">
        <v>5</v>
      </c>
      <c r="AE10" s="73">
        <v>6</v>
      </c>
      <c r="AF10" s="145">
        <v>69040.7734375</v>
      </c>
      <c r="AG10" s="146">
        <v>1.5625E-2</v>
      </c>
      <c r="AH10" s="147" t="s">
        <v>724</v>
      </c>
      <c r="AJ10" s="145"/>
      <c r="AK10" s="146"/>
      <c r="AL10" s="147"/>
      <c r="AM10" s="14" t="s">
        <v>187</v>
      </c>
      <c r="AN10" s="14" t="s">
        <v>212</v>
      </c>
      <c r="AQ10" s="37">
        <v>45901</v>
      </c>
    </row>
    <row r="11" spans="1:74" x14ac:dyDescent="0.3">
      <c r="AE11" s="74">
        <v>5.75</v>
      </c>
      <c r="AF11" s="145">
        <v>69040.8359375</v>
      </c>
      <c r="AG11" s="146">
        <v>6.25E-2</v>
      </c>
      <c r="AH11" s="147" t="s">
        <v>725</v>
      </c>
      <c r="AJ11" s="39"/>
      <c r="AK11" s="40"/>
      <c r="AM11" s="14" t="s">
        <v>188</v>
      </c>
      <c r="AN11" s="14" t="s">
        <v>212</v>
      </c>
      <c r="AQ11" s="37">
        <v>45931</v>
      </c>
    </row>
    <row r="12" spans="1:74" x14ac:dyDescent="0.3">
      <c r="AB12" s="2" t="s">
        <v>131</v>
      </c>
      <c r="AE12" s="75">
        <v>5.5</v>
      </c>
      <c r="AF12" s="145">
        <v>69040.921875</v>
      </c>
      <c r="AG12" s="146">
        <v>8.59375E-2</v>
      </c>
      <c r="AH12" s="147" t="s">
        <v>726</v>
      </c>
      <c r="AJ12" s="39"/>
      <c r="AK12" s="40"/>
      <c r="AM12" s="14" t="s">
        <v>189</v>
      </c>
      <c r="AN12" s="14" t="s">
        <v>213</v>
      </c>
      <c r="AQ12" s="37">
        <v>45962</v>
      </c>
    </row>
    <row r="13" spans="1:74" x14ac:dyDescent="0.3">
      <c r="AB13" s="105">
        <v>36</v>
      </c>
      <c r="AE13" s="76">
        <v>5.25</v>
      </c>
      <c r="AF13" s="145">
        <v>69040.9296875</v>
      </c>
      <c r="AG13" s="146">
        <v>7.8125E-3</v>
      </c>
      <c r="AH13" s="147" t="s">
        <v>727</v>
      </c>
      <c r="AJ13" s="39"/>
      <c r="AK13" s="40"/>
      <c r="AM13" s="2" t="s">
        <v>190</v>
      </c>
      <c r="AN13" s="2" t="s">
        <v>214</v>
      </c>
      <c r="AQ13" s="37">
        <v>45992</v>
      </c>
    </row>
    <row r="14" spans="1:74" x14ac:dyDescent="0.3">
      <c r="AE14" s="18">
        <v>5</v>
      </c>
      <c r="AF14" s="145">
        <v>69040.9375</v>
      </c>
      <c r="AG14" s="146">
        <v>7.8125E-3</v>
      </c>
      <c r="AH14" s="147" t="s">
        <v>728</v>
      </c>
      <c r="AM14" s="2" t="s">
        <v>191</v>
      </c>
      <c r="AN14" s="2" t="s">
        <v>215</v>
      </c>
    </row>
    <row r="15" spans="1:74" x14ac:dyDescent="0.3">
      <c r="AC15" s="2" t="s">
        <v>150</v>
      </c>
      <c r="AD15" s="2" t="s">
        <v>151</v>
      </c>
      <c r="AE15" s="77">
        <v>4.75</v>
      </c>
      <c r="AF15" s="145">
        <v>69040.9453125</v>
      </c>
      <c r="AG15" s="146">
        <v>7.8125E-3</v>
      </c>
      <c r="AH15" s="147" t="s">
        <v>729</v>
      </c>
      <c r="AI15" s="35" t="s">
        <v>342</v>
      </c>
      <c r="AJ15" s="35" t="s">
        <v>344</v>
      </c>
      <c r="AK15" s="35" t="s">
        <v>343</v>
      </c>
      <c r="AM15" s="2" t="s">
        <v>192</v>
      </c>
      <c r="AN15" s="2" t="s">
        <v>216</v>
      </c>
    </row>
    <row r="16" spans="1:74" x14ac:dyDescent="0.3">
      <c r="AC16" s="105">
        <v>10</v>
      </c>
      <c r="AD16" s="105">
        <v>5</v>
      </c>
      <c r="AE16" s="78">
        <v>4.5</v>
      </c>
      <c r="AF16" s="145">
        <v>69040.953125</v>
      </c>
      <c r="AG16" s="146">
        <v>7.8125E-3</v>
      </c>
      <c r="AH16" s="147" t="s">
        <v>730</v>
      </c>
      <c r="AI16" s="2">
        <v>1.4770000000000001</v>
      </c>
      <c r="AJ16" s="113">
        <f>AI16/AI22*AI33</f>
        <v>1.3043046153846154</v>
      </c>
      <c r="AK16" s="101">
        <f>AI27/AJ16</f>
        <v>1.0496014380784102</v>
      </c>
      <c r="AM16" s="18" t="s">
        <v>193</v>
      </c>
      <c r="AN16" s="18" t="s">
        <v>217</v>
      </c>
    </row>
    <row r="17" spans="21:41" x14ac:dyDescent="0.3">
      <c r="AE17" s="79">
        <v>4.25</v>
      </c>
      <c r="AF17" s="145">
        <v>69040.9609375</v>
      </c>
      <c r="AG17" s="146">
        <v>7.8125E-3</v>
      </c>
      <c r="AH17" s="147" t="s">
        <v>731</v>
      </c>
      <c r="AI17" s="2">
        <v>7.4039999999999999</v>
      </c>
      <c r="AJ17" s="113">
        <f>AI17/AI33*AI22</f>
        <v>8.3843205574912893</v>
      </c>
      <c r="AK17" s="101">
        <f>AJ17/AI28</f>
        <v>0.91581873921259316</v>
      </c>
      <c r="AM17" s="2" t="s">
        <v>194</v>
      </c>
      <c r="AN17" s="2" t="s">
        <v>218</v>
      </c>
      <c r="AO17" s="2" t="s">
        <v>208</v>
      </c>
    </row>
    <row r="18" spans="21:41" x14ac:dyDescent="0.3">
      <c r="AB18" s="2" t="s">
        <v>113</v>
      </c>
      <c r="AE18" s="14">
        <v>4</v>
      </c>
      <c r="AF18" s="145">
        <v>69040.9921875</v>
      </c>
      <c r="AG18" s="146">
        <v>3.125E-2</v>
      </c>
      <c r="AH18" s="148" t="s">
        <v>732</v>
      </c>
      <c r="AI18" s="2">
        <v>0.189</v>
      </c>
      <c r="AJ18" s="113">
        <f>AI18/((AI22/AI33)^1.7)</f>
        <v>0.15298868614452751</v>
      </c>
      <c r="AK18" s="101">
        <f>(AI29/AJ18)^(10/17)</f>
        <v>1.0251985507071675</v>
      </c>
      <c r="AM18" s="2" t="s">
        <v>195</v>
      </c>
      <c r="AN18" s="2" t="s">
        <v>218</v>
      </c>
      <c r="AO18" s="2" t="s">
        <v>208</v>
      </c>
    </row>
    <row r="19" spans="21:41" x14ac:dyDescent="0.3">
      <c r="AB19" s="105">
        <v>5</v>
      </c>
      <c r="AE19" s="80">
        <v>3.75</v>
      </c>
      <c r="AF19" s="145">
        <v>69041.0234375</v>
      </c>
      <c r="AG19" s="146">
        <v>3.125E-2</v>
      </c>
      <c r="AH19" s="147" t="s">
        <v>733</v>
      </c>
      <c r="AI19" s="109">
        <v>9.5220000000000002</v>
      </c>
      <c r="AJ19" s="40">
        <f>AI19/AI22*AI33</f>
        <v>8.4086584615384616</v>
      </c>
      <c r="AK19" s="132">
        <f>AI30/AJ19</f>
        <v>1.0050354689342196</v>
      </c>
      <c r="AM19" s="2" t="s">
        <v>196</v>
      </c>
      <c r="AN19" s="2" t="s">
        <v>218</v>
      </c>
      <c r="AO19" s="2" t="s">
        <v>208</v>
      </c>
    </row>
    <row r="20" spans="21:41" x14ac:dyDescent="0.3">
      <c r="AE20" s="15">
        <v>3.5</v>
      </c>
      <c r="AF20" s="145">
        <v>69041.03125</v>
      </c>
      <c r="AG20" s="146">
        <v>7.8125E-3</v>
      </c>
      <c r="AH20" s="147" t="s">
        <v>734</v>
      </c>
      <c r="AI20" s="109">
        <v>5.1820000000000004</v>
      </c>
      <c r="AJ20" s="40">
        <f>AI20/AI33*AI22</f>
        <v>5.8681184668989559</v>
      </c>
      <c r="AK20" s="132">
        <f>AJ20/AI31</f>
        <v>0.9712211961103866</v>
      </c>
      <c r="AM20" s="2" t="s">
        <v>197</v>
      </c>
      <c r="AN20" s="2" t="s">
        <v>219</v>
      </c>
    </row>
    <row r="21" spans="21:41" x14ac:dyDescent="0.3">
      <c r="AB21" s="2" t="s">
        <v>244</v>
      </c>
      <c r="AC21" s="2" t="s">
        <v>245</v>
      </c>
      <c r="AD21" s="6"/>
      <c r="AE21" s="81">
        <v>3.25</v>
      </c>
      <c r="AF21" s="145">
        <v>69041.046875</v>
      </c>
      <c r="AG21" s="146">
        <v>1.5625E-2</v>
      </c>
      <c r="AH21" s="147" t="s">
        <v>735</v>
      </c>
      <c r="AI21" s="109">
        <v>1.129</v>
      </c>
      <c r="AJ21" s="40">
        <f>AI21/((AI22/AI33)^1.7)</f>
        <v>0.91388479712789195</v>
      </c>
      <c r="AK21" s="132">
        <f>(AI32/AJ21)^(10/17)</f>
        <v>1.0115491183518261</v>
      </c>
      <c r="AM21" s="2" t="s">
        <v>198</v>
      </c>
      <c r="AN21" s="2" t="s">
        <v>220</v>
      </c>
    </row>
    <row r="22" spans="21:41" x14ac:dyDescent="0.3">
      <c r="AB22" s="35">
        <v>7</v>
      </c>
      <c r="AC22" s="105">
        <v>14</v>
      </c>
      <c r="AE22" s="16">
        <v>3</v>
      </c>
      <c r="AF22" s="145">
        <v>69041.0859375</v>
      </c>
      <c r="AG22" s="146">
        <v>3.90625E-2</v>
      </c>
      <c r="AH22" s="147" t="s">
        <v>736</v>
      </c>
      <c r="AI22" s="2">
        <v>39</v>
      </c>
      <c r="AJ22" s="113">
        <f>AI33</f>
        <v>34.44</v>
      </c>
      <c r="AK22" s="101"/>
      <c r="AM22" s="18" t="s">
        <v>199</v>
      </c>
      <c r="AN22" s="18" t="s">
        <v>221</v>
      </c>
    </row>
    <row r="23" spans="21:41" x14ac:dyDescent="0.3">
      <c r="AE23" s="82">
        <v>2.75</v>
      </c>
      <c r="AF23" s="145"/>
      <c r="AG23" s="146">
        <v>0.6953125</v>
      </c>
      <c r="AH23" s="147"/>
      <c r="AI23" s="2">
        <v>4.1769999999999996</v>
      </c>
      <c r="AJ23" s="113">
        <f>AI23/AI33*AI22</f>
        <v>4.7300522648083625</v>
      </c>
      <c r="AK23" s="101">
        <f>AJ23/AI34</f>
        <v>0.98297012984379928</v>
      </c>
      <c r="AM23" s="18" t="s">
        <v>249</v>
      </c>
      <c r="AN23" s="18" t="s">
        <v>222</v>
      </c>
    </row>
    <row r="24" spans="21:41" x14ac:dyDescent="0.3">
      <c r="AB24" s="2" t="s">
        <v>147</v>
      </c>
      <c r="AC24" s="2" t="s">
        <v>252</v>
      </c>
      <c r="AD24" s="2" t="s">
        <v>243</v>
      </c>
      <c r="AE24" s="83">
        <v>2.5</v>
      </c>
      <c r="AF24" s="145"/>
      <c r="AG24" s="146"/>
      <c r="AH24" s="147"/>
      <c r="AI24" s="2">
        <v>3.5030000000000001</v>
      </c>
      <c r="AJ24" s="113">
        <f>AI24/((AI22/AI33)^1.7)</f>
        <v>2.8355522093348142</v>
      </c>
      <c r="AK24" s="101">
        <f>(AI35/AJ24)^(10/17)</f>
        <v>0.993439419975921</v>
      </c>
    </row>
    <row r="25" spans="21:41" x14ac:dyDescent="0.3">
      <c r="AB25" s="105">
        <v>14</v>
      </c>
      <c r="AC25" s="105">
        <v>7</v>
      </c>
      <c r="AD25" s="105">
        <v>0</v>
      </c>
      <c r="AE25" s="84">
        <v>2.25</v>
      </c>
      <c r="AF25" s="39"/>
      <c r="AG25" s="35" t="s">
        <v>224</v>
      </c>
      <c r="AH25" s="35" t="s">
        <v>223</v>
      </c>
      <c r="AI25" s="35" t="s">
        <v>389</v>
      </c>
      <c r="AJ25" s="35" t="s">
        <v>229</v>
      </c>
      <c r="AK25" s="35" t="s">
        <v>225</v>
      </c>
      <c r="AL25" s="35" t="s">
        <v>226</v>
      </c>
      <c r="AM25" s="143" t="s">
        <v>319</v>
      </c>
      <c r="AN25" s="143" t="s">
        <v>321</v>
      </c>
      <c r="AO25" s="143" t="s">
        <v>320</v>
      </c>
    </row>
    <row r="26" spans="21:41" x14ac:dyDescent="0.3">
      <c r="AE26" s="85">
        <v>2</v>
      </c>
      <c r="AF26" s="39"/>
      <c r="AG26" s="35" t="s">
        <v>144</v>
      </c>
      <c r="AH26" s="35" t="s">
        <v>132</v>
      </c>
      <c r="AI26" s="35" t="s">
        <v>91</v>
      </c>
      <c r="AJ26" s="35" t="s">
        <v>93</v>
      </c>
      <c r="AK26" s="35" t="s">
        <v>107</v>
      </c>
      <c r="AL26" s="35" t="s">
        <v>99</v>
      </c>
      <c r="AM26" s="2" t="s">
        <v>285</v>
      </c>
      <c r="AN26" s="34">
        <v>45078</v>
      </c>
      <c r="AO26" s="2">
        <f>AN27-AN26</f>
        <v>200</v>
      </c>
    </row>
    <row r="27" spans="21:41" x14ac:dyDescent="0.3">
      <c r="U27" s="6"/>
      <c r="AB27" s="315" t="s">
        <v>385</v>
      </c>
      <c r="AC27" s="316"/>
      <c r="AE27" s="86">
        <v>1.5</v>
      </c>
      <c r="AF27" s="39"/>
      <c r="AG27" s="105" t="s">
        <v>135</v>
      </c>
      <c r="AH27" s="2">
        <v>0.2</v>
      </c>
      <c r="AI27" s="14">
        <v>1.369</v>
      </c>
      <c r="AJ27" s="2">
        <v>34</v>
      </c>
      <c r="AK27" s="120">
        <f>(AL27/AI29/AI27*AI28)/(AL29/AI35/AI33*AI34)</f>
        <v>69.590633614037586</v>
      </c>
      <c r="AL27" s="35">
        <v>36</v>
      </c>
      <c r="AM27" s="2" t="s">
        <v>283</v>
      </c>
      <c r="AN27" s="34">
        <v>45278</v>
      </c>
      <c r="AO27" s="2">
        <f t="shared" ref="AO27:AO29" si="0">AN28-AN27</f>
        <v>248</v>
      </c>
    </row>
    <row r="28" spans="21:41" x14ac:dyDescent="0.3">
      <c r="AB28" s="105">
        <v>30</v>
      </c>
      <c r="AC28" s="105">
        <v>52</v>
      </c>
      <c r="AE28" s="87">
        <v>1</v>
      </c>
      <c r="AF28" s="39"/>
      <c r="AG28" s="105" t="s">
        <v>136</v>
      </c>
      <c r="AH28" s="2">
        <v>0.2</v>
      </c>
      <c r="AI28" s="14">
        <v>9.1549999999999994</v>
      </c>
      <c r="AJ28" s="2">
        <v>48</v>
      </c>
      <c r="AK28" s="150">
        <f>(AL28/AI32/AI30*AI31)/(AL29/AI35/AI33*AI34)</f>
        <v>5.733827173506385</v>
      </c>
      <c r="AL28" s="35">
        <v>162</v>
      </c>
      <c r="AM28" s="2" t="s">
        <v>284</v>
      </c>
      <c r="AN28" s="34">
        <v>45526</v>
      </c>
      <c r="AO28" s="2">
        <f t="shared" si="0"/>
        <v>150</v>
      </c>
    </row>
    <row r="29" spans="21:41" x14ac:dyDescent="0.3">
      <c r="AE29" s="88">
        <v>0.5</v>
      </c>
      <c r="AF29" s="39"/>
      <c r="AG29" s="105" t="s">
        <v>141</v>
      </c>
      <c r="AH29" s="2">
        <v>10</v>
      </c>
      <c r="AI29" s="90">
        <v>0.15959999999999999</v>
      </c>
      <c r="AJ29" s="2">
        <v>18</v>
      </c>
      <c r="AK29" s="35">
        <v>1</v>
      </c>
      <c r="AL29" s="35">
        <v>435</v>
      </c>
      <c r="AM29" s="2" t="s">
        <v>353</v>
      </c>
      <c r="AN29" s="34">
        <v>45676</v>
      </c>
      <c r="AO29" s="2">
        <f t="shared" si="0"/>
        <v>119</v>
      </c>
    </row>
    <row r="30" spans="21:41" x14ac:dyDescent="0.3">
      <c r="AE30" s="89">
        <v>0.01</v>
      </c>
      <c r="AF30" s="39"/>
      <c r="AG30" s="2" t="s">
        <v>134</v>
      </c>
      <c r="AH30" s="105">
        <v>1</v>
      </c>
      <c r="AI30" s="2">
        <v>8.4510000000000005</v>
      </c>
      <c r="AJ30" s="105">
        <v>36</v>
      </c>
      <c r="AM30" s="2" t="s">
        <v>388</v>
      </c>
      <c r="AN30" s="34">
        <v>45795</v>
      </c>
      <c r="AO30" s="39">
        <f ca="1">AN31-AN30</f>
        <v>15.840117476851447</v>
      </c>
    </row>
    <row r="31" spans="21:41" x14ac:dyDescent="0.3">
      <c r="AF31" s="39"/>
      <c r="AG31" s="2" t="s">
        <v>137</v>
      </c>
      <c r="AH31" s="105">
        <v>0.2</v>
      </c>
      <c r="AI31" s="2">
        <v>6.0419999999999998</v>
      </c>
      <c r="AJ31" s="105">
        <v>36</v>
      </c>
      <c r="AK31" s="103" t="s">
        <v>297</v>
      </c>
      <c r="AL31" s="103" t="s">
        <v>296</v>
      </c>
      <c r="AN31" s="142">
        <f ca="1">NOW()</f>
        <v>45810.840117476851</v>
      </c>
    </row>
    <row r="32" spans="21:41" x14ac:dyDescent="0.3">
      <c r="AF32" s="39"/>
      <c r="AG32" s="2" t="s">
        <v>140</v>
      </c>
      <c r="AH32" s="105">
        <v>6</v>
      </c>
      <c r="AI32" s="149">
        <v>0.93189999999999995</v>
      </c>
      <c r="AJ32" s="105">
        <v>28</v>
      </c>
      <c r="AK32" s="105">
        <v>0.3</v>
      </c>
      <c r="AL32" s="105">
        <v>30</v>
      </c>
    </row>
    <row r="33" spans="27:41" x14ac:dyDescent="0.3">
      <c r="AF33" s="39"/>
      <c r="AG33" s="105" t="s">
        <v>133</v>
      </c>
      <c r="AH33" s="35">
        <v>1</v>
      </c>
      <c r="AI33" s="14">
        <v>34.44</v>
      </c>
      <c r="AJ33" s="2">
        <v>32</v>
      </c>
      <c r="AK33" s="105">
        <v>0.8</v>
      </c>
    </row>
    <row r="34" spans="27:41" x14ac:dyDescent="0.3">
      <c r="AF34" s="39"/>
      <c r="AG34" s="105" t="s">
        <v>138</v>
      </c>
      <c r="AH34" s="2">
        <v>0.1</v>
      </c>
      <c r="AI34" s="14">
        <v>4.8120000000000003</v>
      </c>
      <c r="AJ34" s="2">
        <v>32</v>
      </c>
      <c r="AK34" s="105">
        <v>0.9</v>
      </c>
    </row>
    <row r="35" spans="27:41" x14ac:dyDescent="0.3">
      <c r="AC35" s="35">
        <f ca="1">SUM(OFFSET(AC$36,2,1,50,12))</f>
        <v>105</v>
      </c>
      <c r="AF35" s="39"/>
      <c r="AG35" s="105" t="s">
        <v>139</v>
      </c>
      <c r="AH35" s="2">
        <v>4</v>
      </c>
      <c r="AI35" s="14">
        <v>2.8039999999999998</v>
      </c>
      <c r="AJ35" s="2">
        <v>36</v>
      </c>
    </row>
    <row r="37" spans="27:41" x14ac:dyDescent="0.3">
      <c r="AC37" s="35" t="s">
        <v>113</v>
      </c>
      <c r="AD37" s="35" t="s">
        <v>114</v>
      </c>
      <c r="AE37" s="35" t="s">
        <v>115</v>
      </c>
      <c r="AF37" s="35" t="s">
        <v>116</v>
      </c>
      <c r="AG37" s="35" t="s">
        <v>117</v>
      </c>
      <c r="AH37" s="35" t="s">
        <v>118</v>
      </c>
      <c r="AI37" s="35" t="s">
        <v>142</v>
      </c>
      <c r="AJ37" s="35" t="s">
        <v>143</v>
      </c>
      <c r="AK37" s="35" t="s">
        <v>119</v>
      </c>
      <c r="AL37" s="35" t="s">
        <v>120</v>
      </c>
      <c r="AM37" s="35" t="s">
        <v>121</v>
      </c>
      <c r="AN37" s="35" t="s">
        <v>122</v>
      </c>
      <c r="AO37" s="35" t="s">
        <v>123</v>
      </c>
    </row>
    <row r="38" spans="27:41" x14ac:dyDescent="0.3">
      <c r="AC38" s="2">
        <v>2025</v>
      </c>
      <c r="AD38" s="2">
        <v>4</v>
      </c>
      <c r="AE38" s="2">
        <v>23</v>
      </c>
      <c r="AF38" s="2">
        <v>25</v>
      </c>
      <c r="AG38" s="2">
        <v>29</v>
      </c>
      <c r="AH38" s="2">
        <v>22</v>
      </c>
      <c r="AI38" s="2">
        <v>2</v>
      </c>
    </row>
    <row r="39" spans="27:41" x14ac:dyDescent="0.3">
      <c r="AA39" s="62"/>
      <c r="AC39" s="43"/>
    </row>
    <row r="40" spans="27:41" x14ac:dyDescent="0.3">
      <c r="AA40" s="62"/>
      <c r="AC40" s="43"/>
    </row>
  </sheetData>
  <mergeCells count="1">
    <mergeCell ref="AB27:AC27"/>
  </mergeCells>
  <phoneticPr fontId="1" type="noConversion"/>
  <conditionalFormatting sqref="S1:S1048576 J1:J1048576 A1:A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D8F9-690D-4CA5-9CF7-E560B7BF1397}">
  <sheetPr codeName="Sheet22">
    <tabColor theme="5" tint="0.39997558519241921"/>
  </sheetPr>
  <dimension ref="A1:AB1"/>
  <sheetViews>
    <sheetView workbookViewId="0">
      <pane xSplit="1" ySplit="1" topLeftCell="B170" activePane="bottomRight" state="frozen"/>
      <selection pane="topRight"/>
      <selection pane="bottomLeft"/>
      <selection pane="bottomRight" activeCell="A1048576" sqref="A1048576"/>
    </sheetView>
  </sheetViews>
  <sheetFormatPr defaultColWidth="9" defaultRowHeight="12.9" x14ac:dyDescent="0.3"/>
  <cols>
    <col min="1" max="1" width="5" style="1" bestFit="1" customWidth="1"/>
    <col min="2" max="2" width="2.84375" style="2" bestFit="1" customWidth="1"/>
    <col min="3" max="3" width="4.84375" style="2" bestFit="1" customWidth="1"/>
    <col min="4" max="5" width="4.4609375" style="2" bestFit="1" customWidth="1"/>
    <col min="6" max="6" width="3.84375" style="44" bestFit="1" customWidth="1"/>
    <col min="7" max="7" width="4.765625" style="44" bestFit="1" customWidth="1"/>
    <col min="8" max="9" width="4.4609375" style="42" bestFit="1" customWidth="1"/>
    <col min="10" max="10" width="3.84375" style="42" bestFit="1" customWidth="1"/>
    <col min="11" max="11" width="2.84375" style="2" bestFit="1" customWidth="1"/>
    <col min="12" max="12" width="4.84375" style="2" bestFit="1" customWidth="1"/>
    <col min="13" max="14" width="4.4609375" style="2" bestFit="1" customWidth="1"/>
    <col min="15" max="15" width="3.84375" style="44" bestFit="1" customWidth="1"/>
    <col min="16" max="16" width="4.765625" style="44" bestFit="1" customWidth="1"/>
    <col min="17" max="18" width="4.4609375" style="42" bestFit="1" customWidth="1"/>
    <col min="19" max="19" width="3.84375" style="42" bestFit="1" customWidth="1"/>
    <col min="20" max="20" width="2.84375" style="2" bestFit="1" customWidth="1"/>
    <col min="21" max="21" width="4.84375" style="2" bestFit="1" customWidth="1"/>
    <col min="22" max="23" width="4.4609375" style="2" bestFit="1" customWidth="1"/>
    <col min="24" max="24" width="3.84375" style="44" bestFit="1" customWidth="1"/>
    <col min="25" max="25" width="4.765625" style="44" bestFit="1" customWidth="1"/>
    <col min="26" max="27" width="4.4609375" style="42" bestFit="1" customWidth="1"/>
    <col min="28" max="28" width="3.84375" style="42" bestFit="1" customWidth="1"/>
    <col min="29" max="16384" width="9" style="6"/>
  </cols>
  <sheetData>
    <row r="1" spans="1:28" x14ac:dyDescent="0.3">
      <c r="A1" s="1" t="s">
        <v>87</v>
      </c>
      <c r="B1" s="2" t="s">
        <v>88</v>
      </c>
      <c r="C1" s="2" t="s">
        <v>89</v>
      </c>
      <c r="D1" s="2" t="str">
        <f>"&gt;"&amp;Set!AK33</f>
        <v>&gt;0.8</v>
      </c>
      <c r="E1" s="2" t="str">
        <f>"&gt;"&amp;Set!AK34</f>
        <v>&gt;0.9</v>
      </c>
      <c r="F1" s="44" t="s">
        <v>90</v>
      </c>
      <c r="G1" s="44" t="s">
        <v>108</v>
      </c>
      <c r="H1" s="42" t="str">
        <f>D1</f>
        <v>&gt;0.8</v>
      </c>
      <c r="I1" s="42" t="str">
        <f>E1</f>
        <v>&gt;0.9</v>
      </c>
      <c r="J1" s="42" t="s">
        <v>90</v>
      </c>
      <c r="K1" s="2" t="s">
        <v>88</v>
      </c>
      <c r="L1" s="2" t="s">
        <v>89</v>
      </c>
      <c r="M1" s="2" t="str">
        <f>D1</f>
        <v>&gt;0.8</v>
      </c>
      <c r="N1" s="2" t="str">
        <f>E1</f>
        <v>&gt;0.9</v>
      </c>
      <c r="O1" s="44" t="s">
        <v>90</v>
      </c>
      <c r="P1" s="44" t="s">
        <v>108</v>
      </c>
      <c r="Q1" s="42" t="str">
        <f>D1</f>
        <v>&gt;0.8</v>
      </c>
      <c r="R1" s="42" t="str">
        <f>E1</f>
        <v>&gt;0.9</v>
      </c>
      <c r="S1" s="42" t="s">
        <v>90</v>
      </c>
      <c r="T1" s="2" t="s">
        <v>88</v>
      </c>
      <c r="U1" s="2" t="s">
        <v>89</v>
      </c>
      <c r="V1" s="2" t="str">
        <f>D1</f>
        <v>&gt;0.8</v>
      </c>
      <c r="W1" s="2" t="str">
        <f>E1</f>
        <v>&gt;0.9</v>
      </c>
      <c r="X1" s="44" t="s">
        <v>90</v>
      </c>
      <c r="Y1" s="44" t="s">
        <v>108</v>
      </c>
      <c r="Z1" s="42" t="str">
        <f>D1</f>
        <v>&gt;0.8</v>
      </c>
      <c r="AA1" s="42" t="str">
        <f>E1</f>
        <v>&gt;0.9</v>
      </c>
      <c r="AB1" s="42" t="s">
        <v>90</v>
      </c>
    </row>
  </sheetData>
  <phoneticPr fontId="1" type="noConversion"/>
  <conditionalFormatting sqref="H1:J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S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:AB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A5AE3-3D1C-4CA3-92C1-FECD9657D23A}">
  <sheetPr codeName="Sheet13">
    <tabColor theme="5" tint="0.39997558519241921"/>
  </sheetPr>
  <dimension ref="A1:BE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25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13" bestFit="1" customWidth="1"/>
    <col min="5" max="5" width="2.3828125" style="14" bestFit="1" customWidth="1"/>
    <col min="6" max="7" width="2.3828125" style="15" bestFit="1" customWidth="1"/>
    <col min="8" max="9" width="2.3828125" style="16" bestFit="1" customWidth="1"/>
    <col min="10" max="12" width="2.3828125" style="12" bestFit="1" customWidth="1"/>
    <col min="13" max="31" width="3.23046875" style="12" bestFit="1" customWidth="1"/>
    <col min="32" max="38" width="3.23046875" style="16" bestFit="1" customWidth="1"/>
    <col min="39" max="44" width="3.23046875" style="15" bestFit="1" customWidth="1"/>
    <col min="45" max="47" width="3.23046875" style="14" bestFit="1" customWidth="1"/>
    <col min="48" max="48" width="3.23046875" style="17" bestFit="1" customWidth="1"/>
    <col min="49" max="50" width="3.23046875" style="14" bestFit="1" customWidth="1"/>
    <col min="51" max="51" width="3.23046875" style="18" bestFit="1" customWidth="1"/>
    <col min="52" max="52" width="3.23046875" style="17" bestFit="1" customWidth="1"/>
    <col min="53" max="53" width="3.23046875" style="2" bestFit="1" customWidth="1"/>
    <col min="54" max="54" width="3.23046875" style="18" bestFit="1" customWidth="1"/>
    <col min="55" max="56" width="3.23046875" style="2" bestFit="1" customWidth="1"/>
    <col min="57" max="57" width="3.23046875" style="17" bestFit="1" customWidth="1"/>
    <col min="58" max="16384" width="9" style="19"/>
  </cols>
  <sheetData>
    <row r="1" spans="1:57" x14ac:dyDescent="0.25">
      <c r="A1" s="1" t="s">
        <v>87</v>
      </c>
      <c r="B1" s="2" t="s">
        <v>251</v>
      </c>
      <c r="C1" s="2" t="s">
        <v>201</v>
      </c>
      <c r="D1" s="13" t="s">
        <v>128</v>
      </c>
      <c r="E1" s="14">
        <v>2</v>
      </c>
      <c r="F1" s="15">
        <v>3</v>
      </c>
      <c r="G1" s="15">
        <v>4</v>
      </c>
      <c r="H1" s="16">
        <v>5</v>
      </c>
      <c r="I1" s="16">
        <v>6</v>
      </c>
      <c r="J1" s="12">
        <v>7</v>
      </c>
      <c r="K1" s="12">
        <v>8</v>
      </c>
      <c r="L1" s="12">
        <v>9</v>
      </c>
      <c r="M1" s="12">
        <v>10</v>
      </c>
      <c r="N1" s="12">
        <v>11</v>
      </c>
      <c r="O1" s="12">
        <v>12</v>
      </c>
      <c r="P1" s="12">
        <v>13</v>
      </c>
      <c r="Q1" s="12">
        <v>14</v>
      </c>
      <c r="R1" s="12">
        <v>15</v>
      </c>
      <c r="S1" s="12">
        <v>16</v>
      </c>
      <c r="T1" s="12">
        <v>17</v>
      </c>
      <c r="U1" s="12">
        <v>18</v>
      </c>
      <c r="V1" s="12">
        <v>19</v>
      </c>
      <c r="W1" s="12">
        <v>20</v>
      </c>
      <c r="X1" s="12">
        <v>21</v>
      </c>
      <c r="Y1" s="12">
        <v>22</v>
      </c>
      <c r="Z1" s="12">
        <v>23</v>
      </c>
      <c r="AA1" s="12">
        <v>24</v>
      </c>
      <c r="AB1" s="12">
        <v>25</v>
      </c>
      <c r="AC1" s="12">
        <v>26</v>
      </c>
      <c r="AD1" s="12">
        <v>27</v>
      </c>
      <c r="AE1" s="12">
        <v>28</v>
      </c>
      <c r="AF1" s="16">
        <v>29</v>
      </c>
      <c r="AG1" s="16">
        <v>30</v>
      </c>
      <c r="AH1" s="16">
        <v>31</v>
      </c>
      <c r="AI1" s="16">
        <v>32</v>
      </c>
      <c r="AJ1" s="16">
        <v>33</v>
      </c>
      <c r="AK1" s="16">
        <v>34</v>
      </c>
      <c r="AL1" s="16">
        <v>35</v>
      </c>
      <c r="AM1" s="15">
        <v>36</v>
      </c>
      <c r="AN1" s="15">
        <v>37</v>
      </c>
      <c r="AO1" s="15">
        <v>38</v>
      </c>
      <c r="AP1" s="15">
        <v>39</v>
      </c>
      <c r="AQ1" s="15">
        <v>40</v>
      </c>
      <c r="AR1" s="15">
        <v>41</v>
      </c>
      <c r="AS1" s="14">
        <v>42</v>
      </c>
      <c r="AT1" s="14">
        <v>43</v>
      </c>
      <c r="AU1" s="14">
        <v>44</v>
      </c>
      <c r="AV1" s="17">
        <v>45</v>
      </c>
      <c r="AW1" s="14">
        <v>46</v>
      </c>
      <c r="AX1" s="14">
        <v>47</v>
      </c>
      <c r="AY1" s="18">
        <v>48</v>
      </c>
      <c r="AZ1" s="17">
        <v>49</v>
      </c>
      <c r="BA1" s="2">
        <v>50</v>
      </c>
      <c r="BB1" s="18">
        <v>51</v>
      </c>
      <c r="BC1" s="2">
        <v>52</v>
      </c>
      <c r="BD1" s="2">
        <v>53</v>
      </c>
      <c r="BE1" s="17">
        <v>54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A6775-907F-4837-913A-AF74A9DEB8A6}">
  <sheetPr codeName="Sheet5">
    <tabColor theme="5" tint="0.39997558519241921"/>
  </sheetPr>
  <dimension ref="A1:DJ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3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3" bestFit="1" customWidth="1"/>
    <col min="5" max="11" width="3.23046875" style="15" bestFit="1" customWidth="1"/>
    <col min="12" max="21" width="3.23046875" style="16" bestFit="1" customWidth="1"/>
    <col min="22" max="57" width="3.23046875" style="6" bestFit="1" customWidth="1"/>
    <col min="58" max="73" width="3.23046875" style="5" bestFit="1" customWidth="1"/>
    <col min="74" max="74" width="3.23046875" style="4" bestFit="1" customWidth="1"/>
    <col min="75" max="84" width="4.15234375" style="4" bestFit="1" customWidth="1"/>
    <col min="85" max="93" width="4.15234375" style="7" bestFit="1" customWidth="1"/>
    <col min="94" max="102" width="4.15234375" style="8" bestFit="1" customWidth="1"/>
    <col min="103" max="109" width="4.15234375" style="9" bestFit="1" customWidth="1"/>
    <col min="110" max="114" width="4.15234375" style="10" bestFit="1" customWidth="1"/>
    <col min="115" max="16384" width="9" style="6"/>
  </cols>
  <sheetData>
    <row r="1" spans="1:114" x14ac:dyDescent="0.3">
      <c r="A1" s="1" t="s">
        <v>87</v>
      </c>
      <c r="B1" s="2" t="s">
        <v>102</v>
      </c>
      <c r="C1" s="2" t="s">
        <v>103</v>
      </c>
      <c r="D1" s="3" t="s">
        <v>128</v>
      </c>
      <c r="E1" s="15">
        <v>30</v>
      </c>
      <c r="F1" s="15">
        <v>31</v>
      </c>
      <c r="G1" s="15">
        <v>32</v>
      </c>
      <c r="H1" s="15">
        <v>33</v>
      </c>
      <c r="I1" s="15">
        <v>34</v>
      </c>
      <c r="J1" s="15">
        <v>35</v>
      </c>
      <c r="K1" s="15">
        <v>36</v>
      </c>
      <c r="L1" s="16">
        <v>37</v>
      </c>
      <c r="M1" s="16">
        <v>38</v>
      </c>
      <c r="N1" s="16">
        <v>39</v>
      </c>
      <c r="O1" s="16">
        <v>40</v>
      </c>
      <c r="P1" s="16">
        <v>41</v>
      </c>
      <c r="Q1" s="16">
        <v>42</v>
      </c>
      <c r="R1" s="16">
        <v>43</v>
      </c>
      <c r="S1" s="16">
        <v>44</v>
      </c>
      <c r="T1" s="16">
        <v>45</v>
      </c>
      <c r="U1" s="16">
        <v>46</v>
      </c>
      <c r="V1" s="6">
        <v>47</v>
      </c>
      <c r="W1" s="6">
        <v>48</v>
      </c>
      <c r="X1" s="6">
        <v>49</v>
      </c>
      <c r="Y1" s="6">
        <v>50</v>
      </c>
      <c r="Z1" s="6">
        <v>51</v>
      </c>
      <c r="AA1" s="6">
        <v>52</v>
      </c>
      <c r="AB1" s="6">
        <v>53</v>
      </c>
      <c r="AC1" s="6">
        <v>54</v>
      </c>
      <c r="AD1" s="6">
        <v>55</v>
      </c>
      <c r="AE1" s="6">
        <v>56</v>
      </c>
      <c r="AF1" s="6">
        <v>57</v>
      </c>
      <c r="AG1" s="6">
        <v>58</v>
      </c>
      <c r="AH1" s="6">
        <v>59</v>
      </c>
      <c r="AI1" s="6">
        <v>60</v>
      </c>
      <c r="AJ1" s="6">
        <v>61</v>
      </c>
      <c r="AK1" s="6">
        <v>62</v>
      </c>
      <c r="AL1" s="6">
        <v>63</v>
      </c>
      <c r="AM1" s="6">
        <v>64</v>
      </c>
      <c r="AN1" s="6">
        <v>65</v>
      </c>
      <c r="AO1" s="6">
        <v>66</v>
      </c>
      <c r="AP1" s="6">
        <v>67</v>
      </c>
      <c r="AQ1" s="6">
        <v>68</v>
      </c>
      <c r="AR1" s="6">
        <v>69</v>
      </c>
      <c r="AS1" s="6">
        <v>70</v>
      </c>
      <c r="AT1" s="6">
        <v>71</v>
      </c>
      <c r="AU1" s="6">
        <v>72</v>
      </c>
      <c r="AV1" s="6">
        <v>73</v>
      </c>
      <c r="AW1" s="6">
        <v>74</v>
      </c>
      <c r="AX1" s="6">
        <v>75</v>
      </c>
      <c r="AY1" s="6">
        <v>76</v>
      </c>
      <c r="AZ1" s="6">
        <v>77</v>
      </c>
      <c r="BA1" s="6">
        <v>78</v>
      </c>
      <c r="BB1" s="6">
        <v>79</v>
      </c>
      <c r="BC1" s="6">
        <v>80</v>
      </c>
      <c r="BD1" s="6">
        <v>81</v>
      </c>
      <c r="BE1" s="6">
        <v>82</v>
      </c>
      <c r="BF1" s="5">
        <v>83</v>
      </c>
      <c r="BG1" s="5">
        <v>84</v>
      </c>
      <c r="BH1" s="5">
        <v>85</v>
      </c>
      <c r="BI1" s="5">
        <v>86</v>
      </c>
      <c r="BJ1" s="5">
        <v>87</v>
      </c>
      <c r="BK1" s="5">
        <v>88</v>
      </c>
      <c r="BL1" s="5">
        <v>89</v>
      </c>
      <c r="BM1" s="5">
        <v>90</v>
      </c>
      <c r="BN1" s="5">
        <v>91</v>
      </c>
      <c r="BO1" s="5">
        <v>92</v>
      </c>
      <c r="BP1" s="5">
        <v>93</v>
      </c>
      <c r="BQ1" s="5">
        <v>94</v>
      </c>
      <c r="BR1" s="5">
        <v>95</v>
      </c>
      <c r="BS1" s="5">
        <v>96</v>
      </c>
      <c r="BT1" s="5">
        <v>97</v>
      </c>
      <c r="BU1" s="5">
        <v>98</v>
      </c>
      <c r="BV1" s="4">
        <v>99</v>
      </c>
      <c r="BW1" s="4">
        <v>100</v>
      </c>
      <c r="BX1" s="4">
        <v>101</v>
      </c>
      <c r="BY1" s="4">
        <v>102</v>
      </c>
      <c r="BZ1" s="4">
        <v>103</v>
      </c>
      <c r="CA1" s="4">
        <v>104</v>
      </c>
      <c r="CB1" s="4">
        <v>105</v>
      </c>
      <c r="CC1" s="4">
        <v>106</v>
      </c>
      <c r="CD1" s="4">
        <v>107</v>
      </c>
      <c r="CE1" s="4">
        <v>108</v>
      </c>
      <c r="CF1" s="4">
        <v>109</v>
      </c>
      <c r="CG1" s="7">
        <v>110</v>
      </c>
      <c r="CH1" s="7">
        <v>111</v>
      </c>
      <c r="CI1" s="7">
        <v>112</v>
      </c>
      <c r="CJ1" s="7">
        <v>113</v>
      </c>
      <c r="CK1" s="7">
        <v>114</v>
      </c>
      <c r="CL1" s="7">
        <v>115</v>
      </c>
      <c r="CM1" s="7">
        <v>116</v>
      </c>
      <c r="CN1" s="7">
        <v>117</v>
      </c>
      <c r="CO1" s="7">
        <v>118</v>
      </c>
      <c r="CP1" s="8">
        <v>119</v>
      </c>
      <c r="CQ1" s="8">
        <v>120</v>
      </c>
      <c r="CR1" s="8">
        <v>121</v>
      </c>
      <c r="CS1" s="8">
        <v>122</v>
      </c>
      <c r="CT1" s="8">
        <v>123</v>
      </c>
      <c r="CU1" s="8">
        <v>124</v>
      </c>
      <c r="CV1" s="8">
        <v>125</v>
      </c>
      <c r="CW1" s="8">
        <v>126</v>
      </c>
      <c r="CX1" s="8">
        <v>127</v>
      </c>
      <c r="CY1" s="9">
        <v>128</v>
      </c>
      <c r="CZ1" s="9">
        <v>129</v>
      </c>
      <c r="DA1" s="9">
        <v>130</v>
      </c>
      <c r="DB1" s="9">
        <v>131</v>
      </c>
      <c r="DC1" s="9">
        <v>132</v>
      </c>
      <c r="DD1" s="9">
        <v>133</v>
      </c>
      <c r="DE1" s="9">
        <v>134</v>
      </c>
      <c r="DF1" s="10">
        <v>135</v>
      </c>
      <c r="DG1" s="10">
        <v>136</v>
      </c>
      <c r="DH1" s="10">
        <v>137</v>
      </c>
      <c r="DI1" s="10">
        <v>138</v>
      </c>
      <c r="DJ1" s="10">
        <v>139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D64DE-253F-4E01-AE3D-79958B3E11A3}">
  <sheetPr codeName="Sheet4">
    <tabColor theme="5" tint="0.39997558519241921"/>
  </sheetPr>
  <dimension ref="A1:GC1"/>
  <sheetViews>
    <sheetView workbookViewId="0">
      <pane xSplit="1" ySplit="1" topLeftCell="B2" activePane="bottomRight" state="frozen"/>
      <selection pane="topRight"/>
      <selection pane="bottomLeft"/>
      <selection pane="bottomRight" activeCell="E5" sqref="E5"/>
    </sheetView>
  </sheetViews>
  <sheetFormatPr defaultColWidth="9" defaultRowHeight="12.9" x14ac:dyDescent="0.3"/>
  <cols>
    <col min="1" max="1" width="5" style="11" bestFit="1" customWidth="1"/>
    <col min="2" max="2" width="4" style="2" bestFit="1" customWidth="1"/>
    <col min="3" max="3" width="4.61328125" style="2" bestFit="1" customWidth="1"/>
    <col min="4" max="4" width="6.61328125" style="3" bestFit="1" customWidth="1"/>
    <col min="5" max="9" width="4.15234375" style="17" bestFit="1" customWidth="1"/>
    <col min="10" max="19" width="4.15234375" style="14" bestFit="1" customWidth="1"/>
    <col min="20" max="32" width="4.15234375" style="4" bestFit="1" customWidth="1"/>
    <col min="33" max="54" width="4.15234375" style="5" bestFit="1" customWidth="1"/>
    <col min="55" max="101" width="4.15234375" style="6" bestFit="1" customWidth="1"/>
    <col min="102" max="127" width="4.15234375" style="5" bestFit="1" customWidth="1"/>
    <col min="128" max="145" width="4.15234375" style="4" bestFit="1" customWidth="1"/>
    <col min="146" max="159" width="4.15234375" style="7" bestFit="1" customWidth="1"/>
    <col min="160" max="172" width="4.15234375" style="8" bestFit="1" customWidth="1"/>
    <col min="173" max="183" width="4.15234375" style="9" bestFit="1" customWidth="1"/>
    <col min="184" max="185" width="4.15234375" style="10" bestFit="1" customWidth="1"/>
    <col min="186" max="16384" width="9" style="6"/>
  </cols>
  <sheetData>
    <row r="1" spans="1:185" x14ac:dyDescent="0.3">
      <c r="A1" s="11" t="s">
        <v>87</v>
      </c>
      <c r="B1" s="2" t="s">
        <v>129</v>
      </c>
      <c r="C1" s="2" t="s">
        <v>130</v>
      </c>
      <c r="D1" s="3" t="s">
        <v>128</v>
      </c>
      <c r="E1" s="17">
        <v>100</v>
      </c>
      <c r="F1" s="17">
        <v>101</v>
      </c>
      <c r="G1" s="17">
        <v>102</v>
      </c>
      <c r="H1" s="17">
        <v>103</v>
      </c>
      <c r="I1" s="17">
        <v>104</v>
      </c>
      <c r="J1" s="14">
        <v>105</v>
      </c>
      <c r="K1" s="14">
        <v>106</v>
      </c>
      <c r="L1" s="14">
        <v>107</v>
      </c>
      <c r="M1" s="14">
        <v>108</v>
      </c>
      <c r="N1" s="14">
        <v>109</v>
      </c>
      <c r="O1" s="14">
        <v>110</v>
      </c>
      <c r="P1" s="14">
        <v>111</v>
      </c>
      <c r="Q1" s="14">
        <v>112</v>
      </c>
      <c r="R1" s="14">
        <v>113</v>
      </c>
      <c r="S1" s="14">
        <v>114</v>
      </c>
      <c r="T1" s="4">
        <v>115</v>
      </c>
      <c r="U1" s="4">
        <v>116</v>
      </c>
      <c r="V1" s="4">
        <v>117</v>
      </c>
      <c r="W1" s="4">
        <v>118</v>
      </c>
      <c r="X1" s="4">
        <v>119</v>
      </c>
      <c r="Y1" s="4">
        <v>120</v>
      </c>
      <c r="Z1" s="4">
        <v>121</v>
      </c>
      <c r="AA1" s="4">
        <v>122</v>
      </c>
      <c r="AB1" s="4">
        <v>123</v>
      </c>
      <c r="AC1" s="4">
        <v>124</v>
      </c>
      <c r="AD1" s="4">
        <v>125</v>
      </c>
      <c r="AE1" s="4">
        <v>126</v>
      </c>
      <c r="AF1" s="4">
        <v>127</v>
      </c>
      <c r="AG1" s="5">
        <v>128</v>
      </c>
      <c r="AH1" s="5">
        <v>129</v>
      </c>
      <c r="AI1" s="5">
        <v>130</v>
      </c>
      <c r="AJ1" s="5">
        <v>131</v>
      </c>
      <c r="AK1" s="5">
        <v>132</v>
      </c>
      <c r="AL1" s="5">
        <v>133</v>
      </c>
      <c r="AM1" s="5">
        <v>134</v>
      </c>
      <c r="AN1" s="5">
        <v>135</v>
      </c>
      <c r="AO1" s="5">
        <v>136</v>
      </c>
      <c r="AP1" s="5">
        <v>137</v>
      </c>
      <c r="AQ1" s="5">
        <v>138</v>
      </c>
      <c r="AR1" s="5">
        <v>139</v>
      </c>
      <c r="AS1" s="5">
        <v>140</v>
      </c>
      <c r="AT1" s="5">
        <v>141</v>
      </c>
      <c r="AU1" s="5">
        <v>142</v>
      </c>
      <c r="AV1" s="5">
        <v>143</v>
      </c>
      <c r="AW1" s="5">
        <v>144</v>
      </c>
      <c r="AX1" s="5">
        <v>145</v>
      </c>
      <c r="AY1" s="5">
        <v>146</v>
      </c>
      <c r="AZ1" s="5">
        <v>147</v>
      </c>
      <c r="BA1" s="5">
        <v>148</v>
      </c>
      <c r="BB1" s="5">
        <v>149</v>
      </c>
      <c r="BC1" s="6">
        <v>150</v>
      </c>
      <c r="BD1" s="6">
        <v>151</v>
      </c>
      <c r="BE1" s="6">
        <v>152</v>
      </c>
      <c r="BF1" s="6">
        <v>153</v>
      </c>
      <c r="BG1" s="6">
        <v>154</v>
      </c>
      <c r="BH1" s="6">
        <v>155</v>
      </c>
      <c r="BI1" s="6">
        <v>156</v>
      </c>
      <c r="BJ1" s="6">
        <v>157</v>
      </c>
      <c r="BK1" s="6">
        <v>158</v>
      </c>
      <c r="BL1" s="6">
        <v>159</v>
      </c>
      <c r="BM1" s="6">
        <v>160</v>
      </c>
      <c r="BN1" s="6">
        <v>161</v>
      </c>
      <c r="BO1" s="6">
        <v>162</v>
      </c>
      <c r="BP1" s="6">
        <v>163</v>
      </c>
      <c r="BQ1" s="6">
        <v>164</v>
      </c>
      <c r="BR1" s="6">
        <v>165</v>
      </c>
      <c r="BS1" s="6">
        <v>166</v>
      </c>
      <c r="BT1" s="6">
        <v>167</v>
      </c>
      <c r="BU1" s="6">
        <v>168</v>
      </c>
      <c r="BV1" s="6">
        <v>169</v>
      </c>
      <c r="BW1" s="6">
        <v>170</v>
      </c>
      <c r="BX1" s="6">
        <v>171</v>
      </c>
      <c r="BY1" s="6">
        <v>172</v>
      </c>
      <c r="BZ1" s="6">
        <v>173</v>
      </c>
      <c r="CA1" s="6">
        <v>174</v>
      </c>
      <c r="CB1" s="6">
        <v>175</v>
      </c>
      <c r="CC1" s="6">
        <v>176</v>
      </c>
      <c r="CD1" s="6">
        <v>177</v>
      </c>
      <c r="CE1" s="6">
        <v>178</v>
      </c>
      <c r="CF1" s="6">
        <v>179</v>
      </c>
      <c r="CG1" s="6">
        <v>180</v>
      </c>
      <c r="CH1" s="6">
        <v>181</v>
      </c>
      <c r="CI1" s="6">
        <v>182</v>
      </c>
      <c r="CJ1" s="6">
        <v>183</v>
      </c>
      <c r="CK1" s="6">
        <v>184</v>
      </c>
      <c r="CL1" s="6">
        <v>185</v>
      </c>
      <c r="CM1" s="6">
        <v>186</v>
      </c>
      <c r="CN1" s="6">
        <v>187</v>
      </c>
      <c r="CO1" s="6">
        <v>188</v>
      </c>
      <c r="CP1" s="6">
        <v>189</v>
      </c>
      <c r="CQ1" s="6">
        <v>190</v>
      </c>
      <c r="CR1" s="6">
        <v>191</v>
      </c>
      <c r="CS1" s="6">
        <v>192</v>
      </c>
      <c r="CT1" s="6">
        <v>193</v>
      </c>
      <c r="CU1" s="6">
        <v>194</v>
      </c>
      <c r="CV1" s="6">
        <v>195</v>
      </c>
      <c r="CW1" s="6">
        <v>196</v>
      </c>
      <c r="CX1" s="5">
        <v>197</v>
      </c>
      <c r="CY1" s="5">
        <v>198</v>
      </c>
      <c r="CZ1" s="5">
        <v>199</v>
      </c>
      <c r="DA1" s="5">
        <v>200</v>
      </c>
      <c r="DB1" s="5">
        <v>201</v>
      </c>
      <c r="DC1" s="5">
        <v>202</v>
      </c>
      <c r="DD1" s="5">
        <v>203</v>
      </c>
      <c r="DE1" s="5">
        <v>204</v>
      </c>
      <c r="DF1" s="5">
        <v>205</v>
      </c>
      <c r="DG1" s="5">
        <v>206</v>
      </c>
      <c r="DH1" s="5">
        <v>207</v>
      </c>
      <c r="DI1" s="5">
        <v>208</v>
      </c>
      <c r="DJ1" s="5">
        <v>209</v>
      </c>
      <c r="DK1" s="5">
        <v>210</v>
      </c>
      <c r="DL1" s="5">
        <v>211</v>
      </c>
      <c r="DM1" s="5">
        <v>212</v>
      </c>
      <c r="DN1" s="5">
        <v>213</v>
      </c>
      <c r="DO1" s="5">
        <v>214</v>
      </c>
      <c r="DP1" s="5">
        <v>215</v>
      </c>
      <c r="DQ1" s="5">
        <v>216</v>
      </c>
      <c r="DR1" s="5">
        <v>217</v>
      </c>
      <c r="DS1" s="5">
        <v>218</v>
      </c>
      <c r="DT1" s="5">
        <v>219</v>
      </c>
      <c r="DU1" s="5">
        <v>220</v>
      </c>
      <c r="DV1" s="5">
        <v>221</v>
      </c>
      <c r="DW1" s="5">
        <v>222</v>
      </c>
      <c r="DX1" s="4">
        <v>223</v>
      </c>
      <c r="DY1" s="4">
        <v>224</v>
      </c>
      <c r="DZ1" s="4">
        <v>225</v>
      </c>
      <c r="EA1" s="4">
        <v>226</v>
      </c>
      <c r="EB1" s="4">
        <v>227</v>
      </c>
      <c r="EC1" s="4">
        <v>228</v>
      </c>
      <c r="ED1" s="4">
        <v>229</v>
      </c>
      <c r="EE1" s="4">
        <v>230</v>
      </c>
      <c r="EF1" s="4">
        <v>231</v>
      </c>
      <c r="EG1" s="4">
        <v>232</v>
      </c>
      <c r="EH1" s="4">
        <v>233</v>
      </c>
      <c r="EI1" s="4">
        <v>234</v>
      </c>
      <c r="EJ1" s="4">
        <v>235</v>
      </c>
      <c r="EK1" s="4">
        <v>236</v>
      </c>
      <c r="EL1" s="4">
        <v>237</v>
      </c>
      <c r="EM1" s="4">
        <v>238</v>
      </c>
      <c r="EN1" s="4">
        <v>239</v>
      </c>
      <c r="EO1" s="4">
        <v>240</v>
      </c>
      <c r="EP1" s="7">
        <v>241</v>
      </c>
      <c r="EQ1" s="7">
        <v>242</v>
      </c>
      <c r="ER1" s="7">
        <v>243</v>
      </c>
      <c r="ES1" s="7">
        <v>244</v>
      </c>
      <c r="ET1" s="7">
        <v>245</v>
      </c>
      <c r="EU1" s="7">
        <v>246</v>
      </c>
      <c r="EV1" s="7">
        <v>247</v>
      </c>
      <c r="EW1" s="7">
        <v>248</v>
      </c>
      <c r="EX1" s="7">
        <v>249</v>
      </c>
      <c r="EY1" s="7">
        <v>250</v>
      </c>
      <c r="EZ1" s="7">
        <v>251</v>
      </c>
      <c r="FA1" s="7">
        <v>252</v>
      </c>
      <c r="FB1" s="7">
        <v>253</v>
      </c>
      <c r="FC1" s="7">
        <v>254</v>
      </c>
      <c r="FD1" s="8">
        <v>255</v>
      </c>
      <c r="FE1" s="8">
        <v>256</v>
      </c>
      <c r="FF1" s="8">
        <v>257</v>
      </c>
      <c r="FG1" s="8">
        <v>258</v>
      </c>
      <c r="FH1" s="8">
        <v>259</v>
      </c>
      <c r="FI1" s="8">
        <v>260</v>
      </c>
      <c r="FJ1" s="8">
        <v>261</v>
      </c>
      <c r="FK1" s="8">
        <v>262</v>
      </c>
      <c r="FL1" s="8">
        <v>263</v>
      </c>
      <c r="FM1" s="8">
        <v>264</v>
      </c>
      <c r="FN1" s="8">
        <v>265</v>
      </c>
      <c r="FO1" s="8">
        <v>266</v>
      </c>
      <c r="FP1" s="8">
        <v>267</v>
      </c>
      <c r="FQ1" s="9">
        <v>268</v>
      </c>
      <c r="FR1" s="9">
        <v>269</v>
      </c>
      <c r="FS1" s="9">
        <v>270</v>
      </c>
      <c r="FT1" s="9">
        <v>271</v>
      </c>
      <c r="FU1" s="9">
        <v>272</v>
      </c>
      <c r="FV1" s="9">
        <v>273</v>
      </c>
      <c r="FW1" s="9">
        <v>274</v>
      </c>
      <c r="FX1" s="9">
        <v>275</v>
      </c>
      <c r="FY1" s="9">
        <v>276</v>
      </c>
      <c r="FZ1" s="9">
        <v>277</v>
      </c>
      <c r="GA1" s="9">
        <v>278</v>
      </c>
      <c r="GB1" s="10">
        <v>279</v>
      </c>
      <c r="GC1" s="10">
        <v>280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0"/>
  </sheetPr>
  <dimension ref="A1:BA22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/>
    </sheetView>
  </sheetViews>
  <sheetFormatPr defaultColWidth="6.61328125" defaultRowHeight="12.9" x14ac:dyDescent="0.3"/>
  <cols>
    <col min="1" max="1" width="6.765625" style="34" bestFit="1" customWidth="1"/>
    <col min="2" max="2" width="3.3046875" style="97" bestFit="1" customWidth="1"/>
    <col min="3" max="5" width="4.23046875" style="97" bestFit="1" customWidth="1"/>
    <col min="6" max="8" width="3.53515625" style="27" bestFit="1" customWidth="1"/>
    <col min="9" max="9" width="1.765625" style="27" customWidth="1"/>
    <col min="10" max="12" width="3.3046875" style="97" bestFit="1" customWidth="1"/>
    <col min="13" max="36" width="3.765625" style="33" bestFit="1" customWidth="1"/>
    <col min="37" max="53" width="4.69140625" style="33" bestFit="1" customWidth="1"/>
    <col min="54" max="16384" width="6.61328125" style="12"/>
  </cols>
  <sheetData>
    <row r="1" spans="1:53" s="2" customFormat="1" x14ac:dyDescent="0.3">
      <c r="A1" s="55" t="s">
        <v>131</v>
      </c>
      <c r="B1" s="66" t="s">
        <v>135</v>
      </c>
      <c r="C1" s="66" t="s">
        <v>134</v>
      </c>
      <c r="D1" s="66" t="s">
        <v>133</v>
      </c>
      <c r="E1" s="66" t="s">
        <v>106</v>
      </c>
      <c r="F1" s="26" t="s">
        <v>136</v>
      </c>
      <c r="G1" s="26" t="s">
        <v>137</v>
      </c>
      <c r="H1" s="26" t="s">
        <v>138</v>
      </c>
      <c r="I1" s="26"/>
      <c r="J1" s="66" t="s">
        <v>231</v>
      </c>
      <c r="K1" s="66" t="s">
        <v>232</v>
      </c>
      <c r="L1" s="66" t="s">
        <v>233</v>
      </c>
      <c r="M1" s="131" t="s">
        <v>335</v>
      </c>
      <c r="N1" s="131" t="s">
        <v>336</v>
      </c>
      <c r="O1" s="131" t="s">
        <v>337</v>
      </c>
      <c r="P1" s="131" t="s">
        <v>281</v>
      </c>
      <c r="Q1" s="131" t="s">
        <v>135</v>
      </c>
      <c r="R1" s="131" t="s">
        <v>135</v>
      </c>
      <c r="S1" s="131" t="s">
        <v>135</v>
      </c>
      <c r="T1" s="131" t="s">
        <v>135</v>
      </c>
      <c r="U1" s="131" t="s">
        <v>135</v>
      </c>
      <c r="V1" s="131" t="s">
        <v>135</v>
      </c>
      <c r="W1" s="131" t="s">
        <v>135</v>
      </c>
      <c r="X1" s="131" t="s">
        <v>135</v>
      </c>
      <c r="Y1" s="131" t="s">
        <v>135</v>
      </c>
      <c r="Z1" s="131" t="s">
        <v>135</v>
      </c>
      <c r="AA1" s="131" t="s">
        <v>135</v>
      </c>
      <c r="AB1" s="131" t="s">
        <v>135</v>
      </c>
      <c r="AC1" s="131" t="s">
        <v>135</v>
      </c>
      <c r="AD1" s="131" t="s">
        <v>135</v>
      </c>
      <c r="AE1" s="131" t="s">
        <v>135</v>
      </c>
      <c r="AF1" s="131" t="s">
        <v>135</v>
      </c>
      <c r="AG1" s="131" t="s">
        <v>135</v>
      </c>
      <c r="AH1" s="131" t="s">
        <v>135</v>
      </c>
      <c r="AI1" s="131" t="s">
        <v>135</v>
      </c>
      <c r="AJ1" s="131" t="s">
        <v>135</v>
      </c>
      <c r="AK1" s="131" t="s">
        <v>134</v>
      </c>
      <c r="AL1" s="131" t="s">
        <v>134</v>
      </c>
      <c r="AM1" s="131" t="s">
        <v>134</v>
      </c>
      <c r="AN1" s="131" t="s">
        <v>134</v>
      </c>
      <c r="AO1" s="131" t="s">
        <v>134</v>
      </c>
      <c r="AP1" s="131" t="s">
        <v>134</v>
      </c>
      <c r="AQ1" s="131" t="s">
        <v>134</v>
      </c>
      <c r="AR1" s="131" t="s">
        <v>134</v>
      </c>
      <c r="AS1" s="131" t="s">
        <v>134</v>
      </c>
      <c r="AT1" s="131" t="s">
        <v>134</v>
      </c>
      <c r="AU1" s="131" t="s">
        <v>134</v>
      </c>
      <c r="AV1" s="131" t="s">
        <v>134</v>
      </c>
      <c r="AW1" s="131" t="s">
        <v>133</v>
      </c>
      <c r="AX1" s="131" t="s">
        <v>133</v>
      </c>
      <c r="AY1" s="131" t="s">
        <v>133</v>
      </c>
      <c r="AZ1" s="131" t="s">
        <v>133</v>
      </c>
      <c r="BA1" s="131" t="s">
        <v>133</v>
      </c>
    </row>
    <row r="2" spans="1:53" x14ac:dyDescent="0.3">
      <c r="A2" s="34">
        <v>45670</v>
      </c>
      <c r="B2" s="97">
        <v>95.830000000000027</v>
      </c>
      <c r="C2" s="97">
        <v>261.79000000000002</v>
      </c>
      <c r="D2" s="97">
        <v>345.34000000000003</v>
      </c>
      <c r="E2" s="97">
        <v>702.96</v>
      </c>
      <c r="F2" s="27">
        <v>62.210884094238281</v>
      </c>
      <c r="G2" s="27">
        <v>32.568885803222656</v>
      </c>
      <c r="H2" s="27">
        <v>12.248522758483887</v>
      </c>
      <c r="J2" s="97">
        <v>31.546314239501953</v>
      </c>
      <c r="K2" s="97">
        <v>48.059841156005859</v>
      </c>
      <c r="L2" s="97">
        <v>52.230804443359375</v>
      </c>
      <c r="M2" s="33">
        <v>0.29428132869272489</v>
      </c>
      <c r="N2" s="33">
        <v>1.0427677352090974</v>
      </c>
      <c r="O2" s="33">
        <v>1.8525226822999614</v>
      </c>
      <c r="P2" s="33">
        <v>0.82839590325431589</v>
      </c>
      <c r="Q2" s="33">
        <v>4.17</v>
      </c>
      <c r="R2" s="33">
        <v>4.33</v>
      </c>
      <c r="S2" s="33">
        <v>4.47</v>
      </c>
      <c r="T2" s="33">
        <v>4.6500000000000004</v>
      </c>
      <c r="U2" s="33">
        <v>4.78</v>
      </c>
      <c r="V2" s="33">
        <v>4.83</v>
      </c>
      <c r="W2" s="33">
        <v>4.9000000000000004</v>
      </c>
      <c r="X2" s="33">
        <v>4.9000000000000004</v>
      </c>
      <c r="Y2" s="33">
        <v>4.9000000000000004</v>
      </c>
      <c r="Z2" s="33">
        <v>4.9000000000000004</v>
      </c>
      <c r="AA2" s="33">
        <v>4.9000000000000004</v>
      </c>
      <c r="AB2" s="33">
        <v>4.9000000000000004</v>
      </c>
      <c r="AC2" s="33">
        <v>4.9000000000000004</v>
      </c>
      <c r="AD2" s="33">
        <v>4.9000000000000004</v>
      </c>
      <c r="AE2" s="33">
        <v>4.9000000000000004</v>
      </c>
      <c r="AF2" s="33">
        <v>4.9000000000000004</v>
      </c>
      <c r="AG2" s="33">
        <v>4.9000000000000004</v>
      </c>
      <c r="AH2" s="33">
        <v>4.9000000000000004</v>
      </c>
      <c r="AI2" s="33">
        <v>4.9000000000000004</v>
      </c>
      <c r="AJ2" s="33">
        <v>4.9000000000000004</v>
      </c>
      <c r="AK2" s="33">
        <v>20.059999999999999</v>
      </c>
      <c r="AL2" s="33">
        <v>20.16</v>
      </c>
      <c r="AM2" s="33">
        <v>20.48</v>
      </c>
      <c r="AN2" s="33">
        <v>21.13</v>
      </c>
      <c r="AO2" s="33">
        <v>21.72</v>
      </c>
      <c r="AP2" s="33">
        <v>21.98</v>
      </c>
      <c r="AQ2" s="33">
        <v>22</v>
      </c>
      <c r="AR2" s="33">
        <v>22.43</v>
      </c>
      <c r="AS2" s="33">
        <v>22.85</v>
      </c>
      <c r="AT2" s="33">
        <v>22.94</v>
      </c>
      <c r="AU2" s="33">
        <v>22.99</v>
      </c>
      <c r="AV2" s="33">
        <v>23.05</v>
      </c>
      <c r="AW2" s="33">
        <v>67.13</v>
      </c>
      <c r="AX2" s="33">
        <v>68.319999999999993</v>
      </c>
      <c r="AY2" s="33">
        <v>68.930000000000007</v>
      </c>
      <c r="AZ2" s="33">
        <v>69.73</v>
      </c>
      <c r="BA2" s="33">
        <v>71.23</v>
      </c>
    </row>
    <row r="3" spans="1:53" x14ac:dyDescent="0.3">
      <c r="A3" s="34">
        <v>45677</v>
      </c>
      <c r="B3" s="97">
        <v>98.000000000000028</v>
      </c>
      <c r="C3" s="97">
        <v>360</v>
      </c>
      <c r="D3" s="97">
        <v>495</v>
      </c>
      <c r="E3" s="97">
        <v>953</v>
      </c>
      <c r="F3" s="27">
        <v>0</v>
      </c>
      <c r="G3" s="27">
        <v>2.2125272750854492</v>
      </c>
      <c r="H3" s="27">
        <v>0</v>
      </c>
      <c r="J3" s="97">
        <v>0</v>
      </c>
      <c r="K3" s="97">
        <v>2.6348967552185059</v>
      </c>
      <c r="L3" s="97">
        <v>0</v>
      </c>
      <c r="M3" s="33">
        <v>0</v>
      </c>
      <c r="N3" s="33">
        <v>2.8242630007386835E-3</v>
      </c>
      <c r="O3" s="33">
        <v>0</v>
      </c>
      <c r="P3" s="33">
        <v>0</v>
      </c>
      <c r="Q3" s="33">
        <v>4.9000000000000004</v>
      </c>
      <c r="R3" s="33">
        <v>4.9000000000000004</v>
      </c>
      <c r="S3" s="33">
        <v>4.9000000000000004</v>
      </c>
      <c r="T3" s="33">
        <v>4.9000000000000004</v>
      </c>
      <c r="U3" s="33">
        <v>4.9000000000000004</v>
      </c>
      <c r="V3" s="33">
        <v>4.9000000000000004</v>
      </c>
      <c r="W3" s="33">
        <v>4.9000000000000004</v>
      </c>
      <c r="X3" s="33">
        <v>4.9000000000000004</v>
      </c>
      <c r="Y3" s="33">
        <v>4.9000000000000004</v>
      </c>
      <c r="Z3" s="33">
        <v>4.9000000000000004</v>
      </c>
      <c r="AA3" s="33">
        <v>4.9000000000000004</v>
      </c>
      <c r="AB3" s="33">
        <v>4.9000000000000004</v>
      </c>
      <c r="AC3" s="33">
        <v>4.9000000000000004</v>
      </c>
      <c r="AD3" s="33">
        <v>4.9000000000000004</v>
      </c>
      <c r="AE3" s="33">
        <v>4.9000000000000004</v>
      </c>
      <c r="AF3" s="33">
        <v>4.9000000000000004</v>
      </c>
      <c r="AG3" s="33">
        <v>4.9000000000000004</v>
      </c>
      <c r="AH3" s="33">
        <v>4.9000000000000004</v>
      </c>
      <c r="AI3" s="33">
        <v>4.9000000000000004</v>
      </c>
      <c r="AJ3" s="33">
        <v>4.9000000000000004</v>
      </c>
      <c r="AK3" s="33">
        <v>30</v>
      </c>
      <c r="AL3" s="33">
        <v>30</v>
      </c>
      <c r="AM3" s="33">
        <v>30</v>
      </c>
      <c r="AN3" s="33">
        <v>30</v>
      </c>
      <c r="AO3" s="33">
        <v>30</v>
      </c>
      <c r="AP3" s="33">
        <v>30</v>
      </c>
      <c r="AQ3" s="33">
        <v>30</v>
      </c>
      <c r="AR3" s="33">
        <v>30</v>
      </c>
      <c r="AS3" s="33">
        <v>30</v>
      </c>
      <c r="AT3" s="33">
        <v>30</v>
      </c>
      <c r="AU3" s="33">
        <v>30</v>
      </c>
      <c r="AV3" s="33">
        <v>30</v>
      </c>
      <c r="AW3" s="33">
        <v>99</v>
      </c>
      <c r="AX3" s="33">
        <v>99</v>
      </c>
      <c r="AY3" s="33">
        <v>99</v>
      </c>
      <c r="AZ3" s="33">
        <v>99</v>
      </c>
      <c r="BA3" s="33">
        <v>99</v>
      </c>
    </row>
    <row r="4" spans="1:53" x14ac:dyDescent="0.3">
      <c r="A4" s="34">
        <v>45684</v>
      </c>
      <c r="B4" s="97">
        <v>98.000000000000028</v>
      </c>
      <c r="C4" s="97">
        <v>360</v>
      </c>
      <c r="D4" s="97">
        <v>495</v>
      </c>
      <c r="E4" s="97">
        <v>953</v>
      </c>
      <c r="F4" s="27">
        <v>0</v>
      </c>
      <c r="G4" s="27">
        <v>0</v>
      </c>
      <c r="H4" s="27">
        <v>0</v>
      </c>
      <c r="J4" s="97">
        <v>0</v>
      </c>
      <c r="K4" s="97">
        <v>0</v>
      </c>
      <c r="L4" s="97">
        <v>0</v>
      </c>
      <c r="M4" s="33">
        <v>0</v>
      </c>
      <c r="N4" s="33">
        <v>0</v>
      </c>
      <c r="O4" s="33">
        <v>0</v>
      </c>
      <c r="P4" s="33">
        <v>0</v>
      </c>
      <c r="Q4" s="33">
        <v>4.9000000000000004</v>
      </c>
      <c r="R4" s="33">
        <v>4.9000000000000004</v>
      </c>
      <c r="S4" s="33">
        <v>4.9000000000000004</v>
      </c>
      <c r="T4" s="33">
        <v>4.9000000000000004</v>
      </c>
      <c r="U4" s="33">
        <v>4.9000000000000004</v>
      </c>
      <c r="V4" s="33">
        <v>4.9000000000000004</v>
      </c>
      <c r="W4" s="33">
        <v>4.9000000000000004</v>
      </c>
      <c r="X4" s="33">
        <v>4.9000000000000004</v>
      </c>
      <c r="Y4" s="33">
        <v>4.9000000000000004</v>
      </c>
      <c r="Z4" s="33">
        <v>4.9000000000000004</v>
      </c>
      <c r="AA4" s="33">
        <v>4.9000000000000004</v>
      </c>
      <c r="AB4" s="33">
        <v>4.9000000000000004</v>
      </c>
      <c r="AC4" s="33">
        <v>4.9000000000000004</v>
      </c>
      <c r="AD4" s="33">
        <v>4.9000000000000004</v>
      </c>
      <c r="AE4" s="33">
        <v>4.9000000000000004</v>
      </c>
      <c r="AF4" s="33">
        <v>4.9000000000000004</v>
      </c>
      <c r="AG4" s="33">
        <v>4.9000000000000004</v>
      </c>
      <c r="AH4" s="33">
        <v>4.9000000000000004</v>
      </c>
      <c r="AI4" s="33">
        <v>4.9000000000000004</v>
      </c>
      <c r="AJ4" s="33">
        <v>4.9000000000000004</v>
      </c>
      <c r="AK4" s="33">
        <v>30</v>
      </c>
      <c r="AL4" s="33">
        <v>30</v>
      </c>
      <c r="AM4" s="33">
        <v>30</v>
      </c>
      <c r="AN4" s="33">
        <v>30</v>
      </c>
      <c r="AO4" s="33">
        <v>30</v>
      </c>
      <c r="AP4" s="33">
        <v>30</v>
      </c>
      <c r="AQ4" s="33">
        <v>30</v>
      </c>
      <c r="AR4" s="33">
        <v>30</v>
      </c>
      <c r="AS4" s="33">
        <v>30</v>
      </c>
      <c r="AT4" s="33">
        <v>30</v>
      </c>
      <c r="AU4" s="33">
        <v>30</v>
      </c>
      <c r="AV4" s="33">
        <v>30</v>
      </c>
      <c r="AW4" s="33">
        <v>99</v>
      </c>
      <c r="AX4" s="33">
        <v>99</v>
      </c>
      <c r="AY4" s="33">
        <v>99</v>
      </c>
      <c r="AZ4" s="33">
        <v>99</v>
      </c>
      <c r="BA4" s="33">
        <v>99</v>
      </c>
    </row>
    <row r="5" spans="1:53" x14ac:dyDescent="0.3">
      <c r="A5" s="34">
        <v>45691</v>
      </c>
      <c r="B5" s="97">
        <v>96.520000000000024</v>
      </c>
      <c r="C5" s="97">
        <v>280.03000000000003</v>
      </c>
      <c r="D5" s="97">
        <v>337.42</v>
      </c>
      <c r="E5" s="97">
        <v>713.97</v>
      </c>
      <c r="F5" s="27">
        <v>41.471027374267578</v>
      </c>
      <c r="G5" s="27">
        <v>32.157726287841797</v>
      </c>
      <c r="H5" s="27">
        <v>12.490957260131836</v>
      </c>
      <c r="J5" s="97">
        <v>20.607215881347656</v>
      </c>
      <c r="K5" s="97">
        <v>44.427238464355469</v>
      </c>
      <c r="L5" s="97">
        <v>54.243644714355469</v>
      </c>
      <c r="M5" s="33">
        <v>0.12723189957413272</v>
      </c>
      <c r="N5" s="33">
        <v>0.889785836819461</v>
      </c>
      <c r="O5" s="33">
        <v>2.0080465109090673</v>
      </c>
      <c r="P5" s="33">
        <v>0.61031178459145941</v>
      </c>
      <c r="Q5" s="33">
        <v>3.86</v>
      </c>
      <c r="R5" s="33">
        <v>4.46</v>
      </c>
      <c r="S5" s="33">
        <v>4.9000000000000004</v>
      </c>
      <c r="T5" s="33">
        <v>4.9000000000000004</v>
      </c>
      <c r="U5" s="33">
        <v>4.9000000000000004</v>
      </c>
      <c r="V5" s="33">
        <v>4.9000000000000004</v>
      </c>
      <c r="W5" s="33">
        <v>4.9000000000000004</v>
      </c>
      <c r="X5" s="33">
        <v>4.9000000000000004</v>
      </c>
      <c r="Y5" s="33">
        <v>4.9000000000000004</v>
      </c>
      <c r="Z5" s="33">
        <v>4.9000000000000004</v>
      </c>
      <c r="AA5" s="33">
        <v>4.9000000000000004</v>
      </c>
      <c r="AB5" s="33">
        <v>4.9000000000000004</v>
      </c>
      <c r="AC5" s="33">
        <v>4.9000000000000004</v>
      </c>
      <c r="AD5" s="33">
        <v>4.9000000000000004</v>
      </c>
      <c r="AE5" s="33">
        <v>4.9000000000000004</v>
      </c>
      <c r="AF5" s="33">
        <v>4.9000000000000004</v>
      </c>
      <c r="AG5" s="33">
        <v>4.9000000000000004</v>
      </c>
      <c r="AH5" s="33">
        <v>4.9000000000000004</v>
      </c>
      <c r="AI5" s="33">
        <v>4.9000000000000004</v>
      </c>
      <c r="AJ5" s="33">
        <v>4.9000000000000004</v>
      </c>
      <c r="AK5" s="33">
        <v>21.49</v>
      </c>
      <c r="AL5" s="33">
        <v>22.19</v>
      </c>
      <c r="AM5" s="33">
        <v>22.22</v>
      </c>
      <c r="AN5" s="33">
        <v>22.46</v>
      </c>
      <c r="AO5" s="33">
        <v>22.89</v>
      </c>
      <c r="AP5" s="33">
        <v>23.04</v>
      </c>
      <c r="AQ5" s="33">
        <v>23.37</v>
      </c>
      <c r="AR5" s="33">
        <v>24.07</v>
      </c>
      <c r="AS5" s="33">
        <v>24.37</v>
      </c>
      <c r="AT5" s="33">
        <v>24.43</v>
      </c>
      <c r="AU5" s="33">
        <v>24.58</v>
      </c>
      <c r="AV5" s="33">
        <v>24.92</v>
      </c>
      <c r="AW5" s="33">
        <v>67.180000000000007</v>
      </c>
      <c r="AX5" s="33">
        <v>67.19</v>
      </c>
      <c r="AY5" s="33">
        <v>67.37</v>
      </c>
      <c r="AZ5" s="33">
        <v>67.63</v>
      </c>
      <c r="BA5" s="33">
        <v>68.05</v>
      </c>
    </row>
    <row r="6" spans="1:53" x14ac:dyDescent="0.3">
      <c r="A6" s="34">
        <v>45698</v>
      </c>
      <c r="B6" s="97">
        <v>95.54000000000002</v>
      </c>
      <c r="C6" s="97">
        <v>287.77000000000004</v>
      </c>
      <c r="D6" s="97">
        <v>333.85</v>
      </c>
      <c r="E6" s="97">
        <v>717.16000000000008</v>
      </c>
      <c r="F6" s="27">
        <v>56.55023193359375</v>
      </c>
      <c r="G6" s="27">
        <v>32.976112365722656</v>
      </c>
      <c r="H6" s="27">
        <v>12.827598571777344</v>
      </c>
      <c r="J6" s="97">
        <v>29.114627838134766</v>
      </c>
      <c r="K6" s="97">
        <v>46.069644927978516</v>
      </c>
      <c r="L6" s="97">
        <v>56.422122955322266</v>
      </c>
      <c r="M6" s="33">
        <v>0.24763362089775462</v>
      </c>
      <c r="N6" s="33">
        <v>0.92071282856432302</v>
      </c>
      <c r="O6" s="33">
        <v>2.1679206677891454</v>
      </c>
      <c r="P6" s="33">
        <v>0.79066478425497189</v>
      </c>
      <c r="Q6" s="33">
        <v>3.42</v>
      </c>
      <c r="R6" s="33">
        <v>4.28</v>
      </c>
      <c r="S6" s="33">
        <v>4.54</v>
      </c>
      <c r="T6" s="33">
        <v>4.9000000000000004</v>
      </c>
      <c r="U6" s="33">
        <v>4.9000000000000004</v>
      </c>
      <c r="V6" s="33">
        <v>4.9000000000000004</v>
      </c>
      <c r="W6" s="33">
        <v>4.9000000000000004</v>
      </c>
      <c r="X6" s="33">
        <v>4.9000000000000004</v>
      </c>
      <c r="Y6" s="33">
        <v>4.9000000000000004</v>
      </c>
      <c r="Z6" s="33">
        <v>4.9000000000000004</v>
      </c>
      <c r="AA6" s="33">
        <v>4.9000000000000004</v>
      </c>
      <c r="AB6" s="33">
        <v>4.9000000000000004</v>
      </c>
      <c r="AC6" s="33">
        <v>4.9000000000000004</v>
      </c>
      <c r="AD6" s="33">
        <v>4.9000000000000004</v>
      </c>
      <c r="AE6" s="33">
        <v>4.9000000000000004</v>
      </c>
      <c r="AF6" s="33">
        <v>4.9000000000000004</v>
      </c>
      <c r="AG6" s="33">
        <v>4.9000000000000004</v>
      </c>
      <c r="AH6" s="33">
        <v>4.9000000000000004</v>
      </c>
      <c r="AI6" s="33">
        <v>4.9000000000000004</v>
      </c>
      <c r="AJ6" s="33">
        <v>4.9000000000000004</v>
      </c>
      <c r="AK6" s="33">
        <v>21.14</v>
      </c>
      <c r="AL6" s="33">
        <v>21.7</v>
      </c>
      <c r="AM6" s="33">
        <v>23.15</v>
      </c>
      <c r="AN6" s="33">
        <v>23.34</v>
      </c>
      <c r="AO6" s="33">
        <v>23.47</v>
      </c>
      <c r="AP6" s="33">
        <v>24.51</v>
      </c>
      <c r="AQ6" s="33">
        <v>24.58</v>
      </c>
      <c r="AR6" s="33">
        <v>24.67</v>
      </c>
      <c r="AS6" s="33">
        <v>24.73</v>
      </c>
      <c r="AT6" s="33">
        <v>25.02</v>
      </c>
      <c r="AU6" s="33">
        <v>25.42</v>
      </c>
      <c r="AV6" s="33">
        <v>26.04</v>
      </c>
      <c r="AW6" s="33">
        <v>64.52</v>
      </c>
      <c r="AX6" s="33">
        <v>65.59</v>
      </c>
      <c r="AY6" s="33">
        <v>65.77</v>
      </c>
      <c r="AZ6" s="33">
        <v>68.819999999999993</v>
      </c>
      <c r="BA6" s="33">
        <v>69.150000000000006</v>
      </c>
    </row>
    <row r="7" spans="1:53" x14ac:dyDescent="0.3">
      <c r="A7" s="34">
        <v>45705</v>
      </c>
      <c r="B7" s="97">
        <v>87.15</v>
      </c>
      <c r="C7" s="97">
        <v>279.02</v>
      </c>
      <c r="D7" s="97">
        <v>331.93</v>
      </c>
      <c r="E7" s="97">
        <v>698.09999999999991</v>
      </c>
      <c r="F7" s="27">
        <v>69.711288452148438</v>
      </c>
      <c r="G7" s="27">
        <v>33.12335205078125</v>
      </c>
      <c r="H7" s="27">
        <v>13.080120086669922</v>
      </c>
      <c r="J7" s="97">
        <v>38.345184326171875</v>
      </c>
      <c r="K7" s="97">
        <v>47.205131530761719</v>
      </c>
      <c r="L7" s="97">
        <v>57.075099945068359</v>
      </c>
      <c r="M7" s="33">
        <v>0.4407535006463088</v>
      </c>
      <c r="N7" s="33">
        <v>0.97733522570435216</v>
      </c>
      <c r="O7" s="33">
        <v>2.249116179016001</v>
      </c>
      <c r="P7" s="33">
        <v>0.98950289854434659</v>
      </c>
      <c r="Q7" s="33">
        <v>3.74</v>
      </c>
      <c r="R7" s="33">
        <v>3.82</v>
      </c>
      <c r="S7" s="33">
        <v>3.84</v>
      </c>
      <c r="T7" s="33">
        <v>3.89</v>
      </c>
      <c r="U7" s="33">
        <v>4.01</v>
      </c>
      <c r="V7" s="33">
        <v>4.07</v>
      </c>
      <c r="W7" s="33">
        <v>4.13</v>
      </c>
      <c r="X7" s="33">
        <v>4.3</v>
      </c>
      <c r="Y7" s="33">
        <v>4.33</v>
      </c>
      <c r="Z7" s="33">
        <v>4.47</v>
      </c>
      <c r="AA7" s="33">
        <v>4.5</v>
      </c>
      <c r="AB7" s="33">
        <v>4.58</v>
      </c>
      <c r="AC7" s="33">
        <v>4.6100000000000003</v>
      </c>
      <c r="AD7" s="33">
        <v>4.63</v>
      </c>
      <c r="AE7" s="33">
        <v>4.6399999999999997</v>
      </c>
      <c r="AF7" s="33">
        <v>4.6500000000000004</v>
      </c>
      <c r="AG7" s="33">
        <v>4.66</v>
      </c>
      <c r="AH7" s="33">
        <v>4.6900000000000004</v>
      </c>
      <c r="AI7" s="33">
        <v>4.78</v>
      </c>
      <c r="AJ7" s="33">
        <v>4.8099999999999996</v>
      </c>
      <c r="AK7" s="33">
        <v>17.600000000000001</v>
      </c>
      <c r="AL7" s="33">
        <v>17.88</v>
      </c>
      <c r="AM7" s="33">
        <v>23.02</v>
      </c>
      <c r="AN7" s="33">
        <v>23.31</v>
      </c>
      <c r="AO7" s="33">
        <v>23.71</v>
      </c>
      <c r="AP7" s="33">
        <v>23.78</v>
      </c>
      <c r="AQ7" s="33">
        <v>24.02</v>
      </c>
      <c r="AR7" s="33">
        <v>24.03</v>
      </c>
      <c r="AS7" s="33">
        <v>24.6</v>
      </c>
      <c r="AT7" s="33">
        <v>25.42</v>
      </c>
      <c r="AU7" s="33">
        <v>25.73</v>
      </c>
      <c r="AV7" s="33">
        <v>25.92</v>
      </c>
      <c r="AW7" s="33">
        <v>63.69</v>
      </c>
      <c r="AX7" s="33">
        <v>64.05</v>
      </c>
      <c r="AY7" s="33">
        <v>66.09</v>
      </c>
      <c r="AZ7" s="33">
        <v>68.55</v>
      </c>
      <c r="BA7" s="33">
        <v>69.55</v>
      </c>
    </row>
    <row r="8" spans="1:53" x14ac:dyDescent="0.3">
      <c r="A8" s="34">
        <v>45712</v>
      </c>
      <c r="B8" s="97">
        <v>77.169999999999987</v>
      </c>
      <c r="C8" s="97">
        <v>239.29000000000002</v>
      </c>
      <c r="D8" s="97">
        <v>350.40999999999997</v>
      </c>
      <c r="E8" s="97">
        <v>666.87</v>
      </c>
      <c r="F8" s="27">
        <v>71.442962646484375</v>
      </c>
      <c r="G8" s="27">
        <v>34.228733062744141</v>
      </c>
      <c r="H8" s="27">
        <v>12.654616355895996</v>
      </c>
      <c r="J8" s="97">
        <v>42.750564575195313</v>
      </c>
      <c r="K8" s="97">
        <v>51.152317047119141</v>
      </c>
      <c r="L8" s="97">
        <v>53.328601837158203</v>
      </c>
      <c r="M8" s="33">
        <v>0.56872461888392445</v>
      </c>
      <c r="N8" s="33">
        <v>1.2761067111534861</v>
      </c>
      <c r="O8" s="33">
        <v>1.9258954577316574</v>
      </c>
      <c r="P8" s="33">
        <v>1.118082654274045</v>
      </c>
      <c r="Q8" s="33">
        <v>3.47</v>
      </c>
      <c r="R8" s="33">
        <v>3.58</v>
      </c>
      <c r="S8" s="33">
        <v>3.67</v>
      </c>
      <c r="T8" s="33">
        <v>3.69</v>
      </c>
      <c r="U8" s="33">
        <v>3.7</v>
      </c>
      <c r="V8" s="33">
        <v>3.73</v>
      </c>
      <c r="W8" s="33">
        <v>3.78</v>
      </c>
      <c r="X8" s="33">
        <v>3.79</v>
      </c>
      <c r="Y8" s="33">
        <v>3.8</v>
      </c>
      <c r="Z8" s="33">
        <v>3.8</v>
      </c>
      <c r="AA8" s="33">
        <v>3.8</v>
      </c>
      <c r="AB8" s="33">
        <v>3.87</v>
      </c>
      <c r="AC8" s="33">
        <v>3.89</v>
      </c>
      <c r="AD8" s="33">
        <v>3.92</v>
      </c>
      <c r="AE8" s="33">
        <v>4.04</v>
      </c>
      <c r="AF8" s="33">
        <v>4.09</v>
      </c>
      <c r="AG8" s="33">
        <v>4.12</v>
      </c>
      <c r="AH8" s="33">
        <v>4.13</v>
      </c>
      <c r="AI8" s="33">
        <v>4.13</v>
      </c>
      <c r="AJ8" s="33">
        <v>4.17</v>
      </c>
      <c r="AK8" s="33">
        <v>16.43</v>
      </c>
      <c r="AL8" s="33">
        <v>16.86</v>
      </c>
      <c r="AM8" s="33">
        <v>18.82</v>
      </c>
      <c r="AN8" s="33">
        <v>18.829999999999998</v>
      </c>
      <c r="AO8" s="33">
        <v>19.02</v>
      </c>
      <c r="AP8" s="33">
        <v>20.52</v>
      </c>
      <c r="AQ8" s="33">
        <v>20.77</v>
      </c>
      <c r="AR8" s="33">
        <v>20.99</v>
      </c>
      <c r="AS8" s="33">
        <v>21.03</v>
      </c>
      <c r="AT8" s="33">
        <v>21.66</v>
      </c>
      <c r="AU8" s="33">
        <v>22.15</v>
      </c>
      <c r="AV8" s="33">
        <v>22.21</v>
      </c>
      <c r="AW8" s="33">
        <v>68.92</v>
      </c>
      <c r="AX8" s="33">
        <v>69.55</v>
      </c>
      <c r="AY8" s="33">
        <v>69.98</v>
      </c>
      <c r="AZ8" s="33">
        <v>70.13</v>
      </c>
      <c r="BA8" s="33">
        <v>71.83</v>
      </c>
    </row>
    <row r="9" spans="1:53" x14ac:dyDescent="0.3">
      <c r="A9" s="34">
        <v>45719</v>
      </c>
      <c r="B9" s="97">
        <v>90.590000000000032</v>
      </c>
      <c r="C9" s="97">
        <v>293.87</v>
      </c>
      <c r="D9" s="97">
        <v>351.34000000000003</v>
      </c>
      <c r="E9" s="97">
        <v>735.80000000000007</v>
      </c>
      <c r="F9" s="27">
        <v>64.004890441894531</v>
      </c>
      <c r="G9" s="27">
        <v>30.497575759887695</v>
      </c>
      <c r="H9" s="27">
        <v>12.045086860656738</v>
      </c>
      <c r="J9" s="97">
        <v>35.836112976074219</v>
      </c>
      <c r="K9" s="97">
        <v>42.688869476318359</v>
      </c>
      <c r="L9" s="97">
        <v>51.531963348388672</v>
      </c>
      <c r="M9" s="33">
        <v>0.36383377499809877</v>
      </c>
      <c r="N9" s="33">
        <v>0.77264518904163015</v>
      </c>
      <c r="O9" s="33">
        <v>1.7666846081142018</v>
      </c>
      <c r="P9" s="33">
        <v>0.79191891133657066</v>
      </c>
      <c r="Q9" s="33">
        <v>3.63</v>
      </c>
      <c r="R9" s="33">
        <v>3.86</v>
      </c>
      <c r="S9" s="33">
        <v>3.89</v>
      </c>
      <c r="T9" s="33">
        <v>4.03</v>
      </c>
      <c r="U9" s="33">
        <v>4.17</v>
      </c>
      <c r="V9" s="33">
        <v>4.3099999999999996</v>
      </c>
      <c r="W9" s="33">
        <v>4.38</v>
      </c>
      <c r="X9" s="33">
        <v>4.42</v>
      </c>
      <c r="Y9" s="33">
        <v>4.54</v>
      </c>
      <c r="Z9" s="33">
        <v>4.58</v>
      </c>
      <c r="AA9" s="33">
        <v>4.74</v>
      </c>
      <c r="AB9" s="33">
        <v>4.84</v>
      </c>
      <c r="AC9" s="33">
        <v>4.9000000000000004</v>
      </c>
      <c r="AD9" s="33">
        <v>4.9000000000000004</v>
      </c>
      <c r="AE9" s="33">
        <v>4.9000000000000004</v>
      </c>
      <c r="AF9" s="33">
        <v>4.9000000000000004</v>
      </c>
      <c r="AG9" s="33">
        <v>4.9000000000000004</v>
      </c>
      <c r="AH9" s="33">
        <v>4.9000000000000004</v>
      </c>
      <c r="AI9" s="33">
        <v>4.9000000000000004</v>
      </c>
      <c r="AJ9" s="33">
        <v>4.9000000000000004</v>
      </c>
      <c r="AK9" s="33">
        <v>20.59</v>
      </c>
      <c r="AL9" s="33">
        <v>21.59</v>
      </c>
      <c r="AM9" s="33">
        <v>21.72</v>
      </c>
      <c r="AN9" s="33">
        <v>22.9</v>
      </c>
      <c r="AO9" s="33">
        <v>23.99</v>
      </c>
      <c r="AP9" s="33">
        <v>24.19</v>
      </c>
      <c r="AQ9" s="33">
        <v>25.73</v>
      </c>
      <c r="AR9" s="33">
        <v>25.96</v>
      </c>
      <c r="AS9" s="33">
        <v>26.03</v>
      </c>
      <c r="AT9" s="33">
        <v>26.54</v>
      </c>
      <c r="AU9" s="33">
        <v>27.26</v>
      </c>
      <c r="AV9" s="33">
        <v>27.37</v>
      </c>
      <c r="AW9" s="33">
        <v>66.849999999999994</v>
      </c>
      <c r="AX9" s="33">
        <v>69.98</v>
      </c>
      <c r="AY9" s="33">
        <v>70.75</v>
      </c>
      <c r="AZ9" s="33">
        <v>71.78</v>
      </c>
      <c r="BA9" s="33">
        <v>71.98</v>
      </c>
    </row>
    <row r="10" spans="1:53" x14ac:dyDescent="0.3">
      <c r="A10" s="34">
        <v>45726</v>
      </c>
      <c r="B10" s="97">
        <v>96.65000000000002</v>
      </c>
      <c r="C10" s="97">
        <v>292.79000000000002</v>
      </c>
      <c r="D10" s="97">
        <v>337.66</v>
      </c>
      <c r="E10" s="97">
        <v>727.10000000000014</v>
      </c>
      <c r="F10" s="27">
        <v>50.783256530761719</v>
      </c>
      <c r="G10" s="27">
        <v>31.286876678466797</v>
      </c>
      <c r="H10" s="27">
        <v>12.970643043518066</v>
      </c>
      <c r="J10" s="97">
        <v>25.064903259277344</v>
      </c>
      <c r="K10" s="97">
        <v>44.787639617919922</v>
      </c>
      <c r="L10" s="97">
        <v>58.023216247558594</v>
      </c>
      <c r="M10" s="33">
        <v>0.18924915135795192</v>
      </c>
      <c r="N10" s="33">
        <v>0.83467912952642631</v>
      </c>
      <c r="O10" s="33">
        <v>2.2288646855032614</v>
      </c>
      <c r="P10" s="33">
        <v>0.70612090008277684</v>
      </c>
      <c r="Q10" s="33">
        <v>4.28</v>
      </c>
      <c r="R10" s="33">
        <v>4.41</v>
      </c>
      <c r="S10" s="33">
        <v>4.67</v>
      </c>
      <c r="T10" s="33">
        <v>4.8899999999999997</v>
      </c>
      <c r="U10" s="33">
        <v>4.9000000000000004</v>
      </c>
      <c r="V10" s="33">
        <v>4.9000000000000004</v>
      </c>
      <c r="W10" s="33">
        <v>4.9000000000000004</v>
      </c>
      <c r="X10" s="33">
        <v>4.9000000000000004</v>
      </c>
      <c r="Y10" s="33">
        <v>4.9000000000000004</v>
      </c>
      <c r="Z10" s="33">
        <v>4.9000000000000004</v>
      </c>
      <c r="AA10" s="33">
        <v>4.9000000000000004</v>
      </c>
      <c r="AB10" s="33">
        <v>4.9000000000000004</v>
      </c>
      <c r="AC10" s="33">
        <v>4.9000000000000004</v>
      </c>
      <c r="AD10" s="33">
        <v>4.9000000000000004</v>
      </c>
      <c r="AE10" s="33">
        <v>4.9000000000000004</v>
      </c>
      <c r="AF10" s="33">
        <v>4.9000000000000004</v>
      </c>
      <c r="AG10" s="33">
        <v>4.9000000000000004</v>
      </c>
      <c r="AH10" s="33">
        <v>4.9000000000000004</v>
      </c>
      <c r="AI10" s="33">
        <v>4.9000000000000004</v>
      </c>
      <c r="AJ10" s="33">
        <v>4.9000000000000004</v>
      </c>
      <c r="AK10" s="33">
        <v>22.07</v>
      </c>
      <c r="AL10" s="33">
        <v>22.69</v>
      </c>
      <c r="AM10" s="33">
        <v>22.74</v>
      </c>
      <c r="AN10" s="33">
        <v>23.56</v>
      </c>
      <c r="AO10" s="33">
        <v>24.01</v>
      </c>
      <c r="AP10" s="33">
        <v>24.49</v>
      </c>
      <c r="AQ10" s="33">
        <v>24.89</v>
      </c>
      <c r="AR10" s="33">
        <v>25.04</v>
      </c>
      <c r="AS10" s="33">
        <v>25.35</v>
      </c>
      <c r="AT10" s="33">
        <v>25.92</v>
      </c>
      <c r="AU10" s="33">
        <v>25.98</v>
      </c>
      <c r="AV10" s="33">
        <v>26.05</v>
      </c>
      <c r="AW10" s="33">
        <v>65</v>
      </c>
      <c r="AX10" s="33">
        <v>67.37</v>
      </c>
      <c r="AY10" s="33">
        <v>67.540000000000006</v>
      </c>
      <c r="AZ10" s="33">
        <v>68.55</v>
      </c>
      <c r="BA10" s="33">
        <v>69.2</v>
      </c>
    </row>
    <row r="11" spans="1:53" x14ac:dyDescent="0.3">
      <c r="A11" s="34">
        <v>45733</v>
      </c>
      <c r="B11" s="97">
        <v>98.000000000000028</v>
      </c>
      <c r="C11" s="97">
        <v>343.94</v>
      </c>
      <c r="D11" s="97">
        <v>363.98</v>
      </c>
      <c r="E11" s="97">
        <v>805.92000000000007</v>
      </c>
      <c r="F11" s="27">
        <v>0</v>
      </c>
      <c r="G11" s="27">
        <v>10.129095077514648</v>
      </c>
      <c r="H11" s="27">
        <v>12.807177543640137</v>
      </c>
      <c r="J11" s="97">
        <v>0</v>
      </c>
      <c r="K11" s="97">
        <v>14.040919303894043</v>
      </c>
      <c r="L11" s="97">
        <v>53.475929260253906</v>
      </c>
      <c r="M11" s="33">
        <v>0</v>
      </c>
      <c r="N11" s="33">
        <v>7.2117208144506742E-2</v>
      </c>
      <c r="O11" s="33">
        <v>1.881630123693266</v>
      </c>
      <c r="P11" s="33">
        <v>0</v>
      </c>
      <c r="Q11" s="33">
        <v>4.9000000000000004</v>
      </c>
      <c r="R11" s="33">
        <v>4.9000000000000004</v>
      </c>
      <c r="S11" s="33">
        <v>4.9000000000000004</v>
      </c>
      <c r="T11" s="33">
        <v>4.9000000000000004</v>
      </c>
      <c r="U11" s="33">
        <v>4.9000000000000004</v>
      </c>
      <c r="V11" s="33">
        <v>4.9000000000000004</v>
      </c>
      <c r="W11" s="33">
        <v>4.9000000000000004</v>
      </c>
      <c r="X11" s="33">
        <v>4.9000000000000004</v>
      </c>
      <c r="Y11" s="33">
        <v>4.9000000000000004</v>
      </c>
      <c r="Z11" s="33">
        <v>4.9000000000000004</v>
      </c>
      <c r="AA11" s="33">
        <v>4.9000000000000004</v>
      </c>
      <c r="AB11" s="33">
        <v>4.9000000000000004</v>
      </c>
      <c r="AC11" s="33">
        <v>4.9000000000000004</v>
      </c>
      <c r="AD11" s="33">
        <v>4.9000000000000004</v>
      </c>
      <c r="AE11" s="33">
        <v>4.9000000000000004</v>
      </c>
      <c r="AF11" s="33">
        <v>4.9000000000000004</v>
      </c>
      <c r="AG11" s="33">
        <v>4.9000000000000004</v>
      </c>
      <c r="AH11" s="33">
        <v>4.9000000000000004</v>
      </c>
      <c r="AI11" s="33">
        <v>4.9000000000000004</v>
      </c>
      <c r="AJ11" s="33">
        <v>4.9000000000000004</v>
      </c>
      <c r="AK11" s="33">
        <v>23.53</v>
      </c>
      <c r="AL11" s="33">
        <v>24.74</v>
      </c>
      <c r="AM11" s="33">
        <v>27.01</v>
      </c>
      <c r="AN11" s="33">
        <v>28.66</v>
      </c>
      <c r="AO11" s="33">
        <v>30</v>
      </c>
      <c r="AP11" s="33">
        <v>30</v>
      </c>
      <c r="AQ11" s="33">
        <v>30</v>
      </c>
      <c r="AR11" s="33">
        <v>30</v>
      </c>
      <c r="AS11" s="33">
        <v>30</v>
      </c>
      <c r="AT11" s="33">
        <v>30</v>
      </c>
      <c r="AU11" s="33">
        <v>30</v>
      </c>
      <c r="AV11" s="33">
        <v>30</v>
      </c>
      <c r="AW11" s="33">
        <v>70.42</v>
      </c>
      <c r="AX11" s="33">
        <v>70.650000000000006</v>
      </c>
      <c r="AY11" s="33">
        <v>71.12</v>
      </c>
      <c r="AZ11" s="33">
        <v>75.680000000000007</v>
      </c>
      <c r="BA11" s="33">
        <v>76.11</v>
      </c>
    </row>
    <row r="12" spans="1:53" x14ac:dyDescent="0.3">
      <c r="A12" s="34">
        <v>45740</v>
      </c>
      <c r="B12" s="97">
        <v>97.270000000000024</v>
      </c>
      <c r="C12" s="97">
        <v>309.63</v>
      </c>
      <c r="D12" s="97">
        <v>331.37</v>
      </c>
      <c r="E12" s="97">
        <v>738.27</v>
      </c>
      <c r="F12" s="27">
        <v>35.321002960205078</v>
      </c>
      <c r="G12" s="27">
        <v>29.659711837768555</v>
      </c>
      <c r="H12" s="27">
        <v>12.853643417358398</v>
      </c>
      <c r="J12" s="97">
        <v>15.421297073364258</v>
      </c>
      <c r="K12" s="97">
        <v>40.111690521240234</v>
      </c>
      <c r="L12" s="97">
        <v>56.695789337158203</v>
      </c>
      <c r="M12" s="33">
        <v>8.046818838177773E-2</v>
      </c>
      <c r="N12" s="33">
        <v>0.67011641758442775</v>
      </c>
      <c r="O12" s="33">
        <v>2.1991955714863671</v>
      </c>
      <c r="P12" s="33">
        <v>0.49129926165073007</v>
      </c>
      <c r="Q12" s="33">
        <v>4.17</v>
      </c>
      <c r="R12" s="33">
        <v>4.9000000000000004</v>
      </c>
      <c r="S12" s="33">
        <v>4.9000000000000004</v>
      </c>
      <c r="T12" s="33">
        <v>4.9000000000000004</v>
      </c>
      <c r="U12" s="33">
        <v>4.9000000000000004</v>
      </c>
      <c r="V12" s="33">
        <v>4.9000000000000004</v>
      </c>
      <c r="W12" s="33">
        <v>4.9000000000000004</v>
      </c>
      <c r="X12" s="33">
        <v>4.9000000000000004</v>
      </c>
      <c r="Y12" s="33">
        <v>4.9000000000000004</v>
      </c>
      <c r="Z12" s="33">
        <v>4.9000000000000004</v>
      </c>
      <c r="AA12" s="33">
        <v>4.9000000000000004</v>
      </c>
      <c r="AB12" s="33">
        <v>4.9000000000000004</v>
      </c>
      <c r="AC12" s="33">
        <v>4.9000000000000004</v>
      </c>
      <c r="AD12" s="33">
        <v>4.9000000000000004</v>
      </c>
      <c r="AE12" s="33">
        <v>4.9000000000000004</v>
      </c>
      <c r="AF12" s="33">
        <v>4.9000000000000004</v>
      </c>
      <c r="AG12" s="33">
        <v>4.9000000000000004</v>
      </c>
      <c r="AH12" s="33">
        <v>4.9000000000000004</v>
      </c>
      <c r="AI12" s="33">
        <v>4.9000000000000004</v>
      </c>
      <c r="AJ12" s="33">
        <v>4.9000000000000004</v>
      </c>
      <c r="AK12" s="33">
        <v>20.85</v>
      </c>
      <c r="AL12" s="33">
        <v>22.32</v>
      </c>
      <c r="AM12" s="33">
        <v>23.09</v>
      </c>
      <c r="AN12" s="33">
        <v>25.04</v>
      </c>
      <c r="AO12" s="33">
        <v>25.35</v>
      </c>
      <c r="AP12" s="33">
        <v>25.54</v>
      </c>
      <c r="AQ12" s="33">
        <v>25.7</v>
      </c>
      <c r="AR12" s="33">
        <v>26.07</v>
      </c>
      <c r="AS12" s="33">
        <v>27.03</v>
      </c>
      <c r="AT12" s="33">
        <v>28.64</v>
      </c>
      <c r="AU12" s="33">
        <v>30</v>
      </c>
      <c r="AV12" s="33">
        <v>30</v>
      </c>
      <c r="AW12" s="33">
        <v>65.08</v>
      </c>
      <c r="AX12" s="33">
        <v>65.959999999999994</v>
      </c>
      <c r="AY12" s="33">
        <v>66.7</v>
      </c>
      <c r="AZ12" s="33">
        <v>66.709999999999994</v>
      </c>
      <c r="BA12" s="33">
        <v>66.92</v>
      </c>
    </row>
    <row r="13" spans="1:53" x14ac:dyDescent="0.3">
      <c r="A13" s="34">
        <v>45747</v>
      </c>
      <c r="B13" s="97">
        <v>98.000000000000028</v>
      </c>
      <c r="C13" s="97">
        <v>360</v>
      </c>
      <c r="D13" s="97">
        <v>314.55</v>
      </c>
      <c r="E13" s="97">
        <v>772.55</v>
      </c>
      <c r="F13" s="27">
        <v>0</v>
      </c>
      <c r="G13" s="27">
        <v>2.6595745086669922</v>
      </c>
      <c r="H13" s="27">
        <v>13.150330543518066</v>
      </c>
      <c r="J13" s="97">
        <v>0</v>
      </c>
      <c r="K13" s="97">
        <v>3.1762979030609131</v>
      </c>
      <c r="L13" s="97">
        <v>57.8133544921875</v>
      </c>
      <c r="M13" s="33">
        <v>0</v>
      </c>
      <c r="N13" s="33">
        <v>4.0924774051372282E-3</v>
      </c>
      <c r="O13" s="33">
        <v>2.4169916053811993</v>
      </c>
      <c r="P13" s="33">
        <v>0</v>
      </c>
      <c r="Q13" s="33">
        <v>4.9000000000000004</v>
      </c>
      <c r="R13" s="33">
        <v>4.9000000000000004</v>
      </c>
      <c r="S13" s="33">
        <v>4.9000000000000004</v>
      </c>
      <c r="T13" s="33">
        <v>4.9000000000000004</v>
      </c>
      <c r="U13" s="33">
        <v>4.9000000000000004</v>
      </c>
      <c r="V13" s="33">
        <v>4.9000000000000004</v>
      </c>
      <c r="W13" s="33">
        <v>4.9000000000000004</v>
      </c>
      <c r="X13" s="33">
        <v>4.9000000000000004</v>
      </c>
      <c r="Y13" s="33">
        <v>4.9000000000000004</v>
      </c>
      <c r="Z13" s="33">
        <v>4.9000000000000004</v>
      </c>
      <c r="AA13" s="33">
        <v>4.9000000000000004</v>
      </c>
      <c r="AB13" s="33">
        <v>4.9000000000000004</v>
      </c>
      <c r="AC13" s="33">
        <v>4.9000000000000004</v>
      </c>
      <c r="AD13" s="33">
        <v>4.9000000000000004</v>
      </c>
      <c r="AE13" s="33">
        <v>4.9000000000000004</v>
      </c>
      <c r="AF13" s="33">
        <v>4.9000000000000004</v>
      </c>
      <c r="AG13" s="33">
        <v>4.9000000000000004</v>
      </c>
      <c r="AH13" s="33">
        <v>4.9000000000000004</v>
      </c>
      <c r="AI13" s="33">
        <v>4.9000000000000004</v>
      </c>
      <c r="AJ13" s="33">
        <v>4.9000000000000004</v>
      </c>
      <c r="AK13" s="33">
        <v>30</v>
      </c>
      <c r="AL13" s="33">
        <v>30</v>
      </c>
      <c r="AM13" s="33">
        <v>30</v>
      </c>
      <c r="AN13" s="33">
        <v>30</v>
      </c>
      <c r="AO13" s="33">
        <v>30</v>
      </c>
      <c r="AP13" s="33">
        <v>30</v>
      </c>
      <c r="AQ13" s="33">
        <v>30</v>
      </c>
      <c r="AR13" s="33">
        <v>30</v>
      </c>
      <c r="AS13" s="33">
        <v>30</v>
      </c>
      <c r="AT13" s="33">
        <v>30</v>
      </c>
      <c r="AU13" s="33">
        <v>30</v>
      </c>
      <c r="AV13" s="33">
        <v>30</v>
      </c>
      <c r="AW13" s="33">
        <v>59.12</v>
      </c>
      <c r="AX13" s="33">
        <v>60.31</v>
      </c>
      <c r="AY13" s="33">
        <v>64.48</v>
      </c>
      <c r="AZ13" s="33">
        <v>65.150000000000006</v>
      </c>
      <c r="BA13" s="33">
        <v>65.489999999999995</v>
      </c>
    </row>
    <row r="14" spans="1:53" x14ac:dyDescent="0.3">
      <c r="A14" s="34">
        <v>45754</v>
      </c>
      <c r="B14" s="97">
        <v>96.860000000000028</v>
      </c>
      <c r="C14" s="97">
        <v>257.27999999999997</v>
      </c>
      <c r="D14" s="97">
        <v>321.84000000000003</v>
      </c>
      <c r="E14" s="97">
        <v>675.98</v>
      </c>
      <c r="F14" s="27">
        <v>40.108661651611328</v>
      </c>
      <c r="G14" s="27">
        <v>31.840570449829102</v>
      </c>
      <c r="H14" s="27">
        <v>13.239360809326172</v>
      </c>
      <c r="J14" s="97">
        <v>19.577980041503906</v>
      </c>
      <c r="K14" s="97">
        <v>48.546348571777344</v>
      </c>
      <c r="L14" s="97">
        <v>58.554721832275391</v>
      </c>
      <c r="M14" s="33">
        <v>0.11649594178227424</v>
      </c>
      <c r="N14" s="33">
        <v>1.0478202265346841</v>
      </c>
      <c r="O14" s="33">
        <v>2.408734501045259</v>
      </c>
      <c r="P14" s="33">
        <v>0.66495997082352654</v>
      </c>
      <c r="Q14" s="33">
        <v>4.08</v>
      </c>
      <c r="R14" s="33">
        <v>4.58</v>
      </c>
      <c r="S14" s="33">
        <v>4.9000000000000004</v>
      </c>
      <c r="T14" s="33">
        <v>4.9000000000000004</v>
      </c>
      <c r="U14" s="33">
        <v>4.9000000000000004</v>
      </c>
      <c r="V14" s="33">
        <v>4.9000000000000004</v>
      </c>
      <c r="W14" s="33">
        <v>4.9000000000000004</v>
      </c>
      <c r="X14" s="33">
        <v>4.9000000000000004</v>
      </c>
      <c r="Y14" s="33">
        <v>4.9000000000000004</v>
      </c>
      <c r="Z14" s="33">
        <v>4.9000000000000004</v>
      </c>
      <c r="AA14" s="33">
        <v>4.9000000000000004</v>
      </c>
      <c r="AB14" s="33">
        <v>4.9000000000000004</v>
      </c>
      <c r="AC14" s="33">
        <v>4.9000000000000004</v>
      </c>
      <c r="AD14" s="33">
        <v>4.9000000000000004</v>
      </c>
      <c r="AE14" s="33">
        <v>4.9000000000000004</v>
      </c>
      <c r="AF14" s="33">
        <v>4.9000000000000004</v>
      </c>
      <c r="AG14" s="33">
        <v>4.9000000000000004</v>
      </c>
      <c r="AH14" s="33">
        <v>4.9000000000000004</v>
      </c>
      <c r="AI14" s="33">
        <v>4.9000000000000004</v>
      </c>
      <c r="AJ14" s="33">
        <v>4.9000000000000004</v>
      </c>
      <c r="AK14" s="33">
        <v>18.420000000000002</v>
      </c>
      <c r="AL14" s="33">
        <v>19.22</v>
      </c>
      <c r="AM14" s="33">
        <v>19.88</v>
      </c>
      <c r="AN14" s="33">
        <v>20.92</v>
      </c>
      <c r="AO14" s="33">
        <v>21.5</v>
      </c>
      <c r="AP14" s="33">
        <v>21.68</v>
      </c>
      <c r="AQ14" s="33">
        <v>21.73</v>
      </c>
      <c r="AR14" s="33">
        <v>22.35</v>
      </c>
      <c r="AS14" s="33">
        <v>22.83</v>
      </c>
      <c r="AT14" s="33">
        <v>22.86</v>
      </c>
      <c r="AU14" s="33">
        <v>22.93</v>
      </c>
      <c r="AV14" s="33">
        <v>22.96</v>
      </c>
      <c r="AW14" s="33">
        <v>62.07</v>
      </c>
      <c r="AX14" s="33">
        <v>63.29</v>
      </c>
      <c r="AY14" s="33">
        <v>64.790000000000006</v>
      </c>
      <c r="AZ14" s="33">
        <v>65.34</v>
      </c>
      <c r="BA14" s="33">
        <v>66.349999999999994</v>
      </c>
    </row>
    <row r="15" spans="1:53" x14ac:dyDescent="0.3">
      <c r="A15" s="34">
        <v>45761</v>
      </c>
      <c r="B15" s="97">
        <v>72.930000000000007</v>
      </c>
      <c r="C15" s="97">
        <v>222.2</v>
      </c>
      <c r="D15" s="97">
        <v>298.36</v>
      </c>
      <c r="E15" s="97">
        <v>593.49</v>
      </c>
      <c r="F15" s="27">
        <v>77.373275756835938</v>
      </c>
      <c r="G15" s="27">
        <v>37.955978393554688</v>
      </c>
      <c r="H15" s="27">
        <v>13.410271644592285</v>
      </c>
      <c r="J15" s="97">
        <v>48.029163360595703</v>
      </c>
      <c r="K15" s="97">
        <v>59.234157562255859</v>
      </c>
      <c r="L15" s="97">
        <v>62.705581665039063</v>
      </c>
      <c r="M15" s="33">
        <v>0.73221561723041251</v>
      </c>
      <c r="N15" s="33">
        <v>1.7646709257260489</v>
      </c>
      <c r="O15" s="33">
        <v>2.8184034882225957</v>
      </c>
      <c r="P15" s="33">
        <v>1.5385158044159921</v>
      </c>
      <c r="Q15" s="33">
        <v>3.28</v>
      </c>
      <c r="R15" s="33">
        <v>3.29</v>
      </c>
      <c r="S15" s="33">
        <v>3.43</v>
      </c>
      <c r="T15" s="33">
        <v>3.45</v>
      </c>
      <c r="U15" s="33">
        <v>3.53</v>
      </c>
      <c r="V15" s="33">
        <v>3.56</v>
      </c>
      <c r="W15" s="33">
        <v>3.56</v>
      </c>
      <c r="X15" s="33">
        <v>3.58</v>
      </c>
      <c r="Y15" s="33">
        <v>3.62</v>
      </c>
      <c r="Z15" s="33">
        <v>3.63</v>
      </c>
      <c r="AA15" s="33">
        <v>3.65</v>
      </c>
      <c r="AB15" s="33">
        <v>3.74</v>
      </c>
      <c r="AC15" s="33">
        <v>3.75</v>
      </c>
      <c r="AD15" s="33">
        <v>3.76</v>
      </c>
      <c r="AE15" s="33">
        <v>3.76</v>
      </c>
      <c r="AF15" s="33">
        <v>3.77</v>
      </c>
      <c r="AG15" s="33">
        <v>3.82</v>
      </c>
      <c r="AH15" s="33">
        <v>3.85</v>
      </c>
      <c r="AI15" s="33">
        <v>3.92</v>
      </c>
      <c r="AJ15" s="33">
        <v>3.98</v>
      </c>
      <c r="AK15" s="33">
        <v>15.62</v>
      </c>
      <c r="AL15" s="33">
        <v>17.489999999999998</v>
      </c>
      <c r="AM15" s="33">
        <v>18.2</v>
      </c>
      <c r="AN15" s="33">
        <v>18.2</v>
      </c>
      <c r="AO15" s="33">
        <v>18.61</v>
      </c>
      <c r="AP15" s="33">
        <v>18.62</v>
      </c>
      <c r="AQ15" s="33">
        <v>18.72</v>
      </c>
      <c r="AR15" s="33">
        <v>19.22</v>
      </c>
      <c r="AS15" s="33">
        <v>19.22</v>
      </c>
      <c r="AT15" s="33">
        <v>19.32</v>
      </c>
      <c r="AU15" s="33">
        <v>19.350000000000001</v>
      </c>
      <c r="AV15" s="33">
        <v>19.63</v>
      </c>
      <c r="AW15" s="33">
        <v>57.69</v>
      </c>
      <c r="AX15" s="33">
        <v>58.92</v>
      </c>
      <c r="AY15" s="33">
        <v>59.44</v>
      </c>
      <c r="AZ15" s="33">
        <v>60.09</v>
      </c>
      <c r="BA15" s="33">
        <v>62.22</v>
      </c>
    </row>
    <row r="16" spans="1:53" x14ac:dyDescent="0.3">
      <c r="A16" s="34">
        <v>45768</v>
      </c>
      <c r="B16" s="97">
        <v>97.960000000000022</v>
      </c>
      <c r="C16" s="97">
        <v>321.90999999999997</v>
      </c>
      <c r="D16" s="97">
        <v>307.38</v>
      </c>
      <c r="E16" s="97">
        <v>727.25</v>
      </c>
      <c r="F16" s="27">
        <v>16.893447875976563</v>
      </c>
      <c r="G16" s="27">
        <v>17.314983367919922</v>
      </c>
      <c r="H16" s="27">
        <v>13.775602340698242</v>
      </c>
      <c r="J16" s="97">
        <v>8.2734308242797852</v>
      </c>
      <c r="K16" s="97">
        <v>24.175285339355469</v>
      </c>
      <c r="L16" s="97">
        <v>62.778881072998047</v>
      </c>
      <c r="M16" s="33">
        <v>2.0502384265755385E-2</v>
      </c>
      <c r="N16" s="33">
        <v>0.22678515394075791</v>
      </c>
      <c r="O16" s="33">
        <v>2.8135106205063765</v>
      </c>
      <c r="P16" s="33">
        <v>0.23562562323062439</v>
      </c>
      <c r="Q16" s="33">
        <v>4.8600000000000003</v>
      </c>
      <c r="R16" s="33">
        <v>4.9000000000000004</v>
      </c>
      <c r="S16" s="33">
        <v>4.9000000000000004</v>
      </c>
      <c r="T16" s="33">
        <v>4.9000000000000004</v>
      </c>
      <c r="U16" s="33">
        <v>4.9000000000000004</v>
      </c>
      <c r="V16" s="33">
        <v>4.9000000000000004</v>
      </c>
      <c r="W16" s="33">
        <v>4.9000000000000004</v>
      </c>
      <c r="X16" s="33">
        <v>4.9000000000000004</v>
      </c>
      <c r="Y16" s="33">
        <v>4.9000000000000004</v>
      </c>
      <c r="Z16" s="33">
        <v>4.9000000000000004</v>
      </c>
      <c r="AA16" s="33">
        <v>4.9000000000000004</v>
      </c>
      <c r="AB16" s="33">
        <v>4.9000000000000004</v>
      </c>
      <c r="AC16" s="33">
        <v>4.9000000000000004</v>
      </c>
      <c r="AD16" s="33">
        <v>4.9000000000000004</v>
      </c>
      <c r="AE16" s="33">
        <v>4.9000000000000004</v>
      </c>
      <c r="AF16" s="33">
        <v>4.9000000000000004</v>
      </c>
      <c r="AG16" s="33">
        <v>4.9000000000000004</v>
      </c>
      <c r="AH16" s="33">
        <v>4.9000000000000004</v>
      </c>
      <c r="AI16" s="33">
        <v>4.9000000000000004</v>
      </c>
      <c r="AJ16" s="33">
        <v>4.9000000000000004</v>
      </c>
      <c r="AK16" s="33">
        <v>19.41</v>
      </c>
      <c r="AL16" s="33">
        <v>20.02</v>
      </c>
      <c r="AM16" s="33">
        <v>21.33</v>
      </c>
      <c r="AN16" s="33">
        <v>25.12</v>
      </c>
      <c r="AO16" s="33">
        <v>26.03</v>
      </c>
      <c r="AP16" s="33">
        <v>30</v>
      </c>
      <c r="AQ16" s="33">
        <v>30</v>
      </c>
      <c r="AR16" s="33">
        <v>30</v>
      </c>
      <c r="AS16" s="33">
        <v>30</v>
      </c>
      <c r="AT16" s="33">
        <v>30</v>
      </c>
      <c r="AU16" s="33">
        <v>30</v>
      </c>
      <c r="AV16" s="33">
        <v>30</v>
      </c>
      <c r="AW16" s="33">
        <v>60.12</v>
      </c>
      <c r="AX16" s="33">
        <v>61.12</v>
      </c>
      <c r="AY16" s="33">
        <v>61.36</v>
      </c>
      <c r="AZ16" s="33">
        <v>62.35</v>
      </c>
      <c r="BA16" s="33">
        <v>62.43</v>
      </c>
    </row>
    <row r="17" spans="1:53" x14ac:dyDescent="0.3">
      <c r="A17" s="34">
        <v>45775</v>
      </c>
      <c r="B17" s="97">
        <v>97.430000000000021</v>
      </c>
      <c r="C17" s="97">
        <v>261.23</v>
      </c>
      <c r="D17" s="97">
        <v>304.92</v>
      </c>
      <c r="E17" s="97">
        <v>663.58</v>
      </c>
      <c r="F17" s="27">
        <v>8.6674270629882813</v>
      </c>
      <c r="G17" s="27">
        <v>35.051357269287109</v>
      </c>
      <c r="H17" s="27">
        <v>14.154702186584473</v>
      </c>
      <c r="J17" s="97">
        <v>4.4057517051696777</v>
      </c>
      <c r="K17" s="97">
        <v>51.387786865234375</v>
      </c>
      <c r="L17" s="97">
        <v>65.36541748046875</v>
      </c>
      <c r="M17" s="33">
        <v>5.6320528365881055E-3</v>
      </c>
      <c r="N17" s="33">
        <v>1.2025332768807959</v>
      </c>
      <c r="O17" s="33">
        <v>3.0343304058236584</v>
      </c>
      <c r="P17" s="33">
        <v>0.27391063676806082</v>
      </c>
      <c r="Q17" s="33">
        <v>4.33</v>
      </c>
      <c r="R17" s="33">
        <v>4.9000000000000004</v>
      </c>
      <c r="S17" s="33">
        <v>4.9000000000000004</v>
      </c>
      <c r="T17" s="33">
        <v>4.9000000000000004</v>
      </c>
      <c r="U17" s="33">
        <v>4.9000000000000004</v>
      </c>
      <c r="V17" s="33">
        <v>4.9000000000000004</v>
      </c>
      <c r="W17" s="33">
        <v>4.9000000000000004</v>
      </c>
      <c r="X17" s="33">
        <v>4.9000000000000004</v>
      </c>
      <c r="Y17" s="33">
        <v>4.9000000000000004</v>
      </c>
      <c r="Z17" s="33">
        <v>4.9000000000000004</v>
      </c>
      <c r="AA17" s="33">
        <v>4.9000000000000004</v>
      </c>
      <c r="AB17" s="33">
        <v>4.9000000000000004</v>
      </c>
      <c r="AC17" s="33">
        <v>4.9000000000000004</v>
      </c>
      <c r="AD17" s="33">
        <v>4.9000000000000004</v>
      </c>
      <c r="AE17" s="33">
        <v>4.9000000000000004</v>
      </c>
      <c r="AF17" s="33">
        <v>4.9000000000000004</v>
      </c>
      <c r="AG17" s="33">
        <v>4.9000000000000004</v>
      </c>
      <c r="AH17" s="33">
        <v>4.9000000000000004</v>
      </c>
      <c r="AI17" s="33">
        <v>4.9000000000000004</v>
      </c>
      <c r="AJ17" s="33">
        <v>4.9000000000000004</v>
      </c>
      <c r="AK17" s="33">
        <v>16.78</v>
      </c>
      <c r="AL17" s="33">
        <v>18.579999999999998</v>
      </c>
      <c r="AM17" s="33">
        <v>21.56</v>
      </c>
      <c r="AN17" s="33">
        <v>21.66</v>
      </c>
      <c r="AO17" s="33">
        <v>21.95</v>
      </c>
      <c r="AP17" s="33">
        <v>21.96</v>
      </c>
      <c r="AQ17" s="33">
        <v>22.19</v>
      </c>
      <c r="AR17" s="33">
        <v>22.3</v>
      </c>
      <c r="AS17" s="33">
        <v>22.93</v>
      </c>
      <c r="AT17" s="33">
        <v>23.26</v>
      </c>
      <c r="AU17" s="33">
        <v>23.97</v>
      </c>
      <c r="AV17" s="33">
        <v>24.09</v>
      </c>
      <c r="AW17" s="33">
        <v>58.2</v>
      </c>
      <c r="AX17" s="33">
        <v>58.97</v>
      </c>
      <c r="AY17" s="33">
        <v>62.07</v>
      </c>
      <c r="AZ17" s="33">
        <v>62.73</v>
      </c>
      <c r="BA17" s="33">
        <v>62.95</v>
      </c>
    </row>
    <row r="18" spans="1:53" x14ac:dyDescent="0.3">
      <c r="A18" s="34">
        <v>45782</v>
      </c>
      <c r="B18" s="97">
        <v>98.000000000000028</v>
      </c>
      <c r="C18" s="97">
        <v>340.97</v>
      </c>
      <c r="D18" s="97">
        <v>312.12</v>
      </c>
      <c r="E18" s="97">
        <v>751.09</v>
      </c>
      <c r="F18" s="27">
        <v>0</v>
      </c>
      <c r="G18" s="27">
        <v>5.157989501953125</v>
      </c>
      <c r="H18" s="27">
        <v>13.992695808410645</v>
      </c>
      <c r="J18" s="97">
        <v>0</v>
      </c>
      <c r="K18" s="97">
        <v>8.4101734161376953</v>
      </c>
      <c r="L18" s="97">
        <v>64.516914367675781</v>
      </c>
      <c r="M18" s="33">
        <v>0</v>
      </c>
      <c r="N18" s="33">
        <v>2.21883310413333E-2</v>
      </c>
      <c r="O18" s="33">
        <v>2.8923669228657047</v>
      </c>
      <c r="P18" s="33">
        <v>0</v>
      </c>
      <c r="Q18" s="33">
        <v>4.9000000000000004</v>
      </c>
      <c r="R18" s="33">
        <v>4.9000000000000004</v>
      </c>
      <c r="S18" s="33">
        <v>4.9000000000000004</v>
      </c>
      <c r="T18" s="33">
        <v>4.9000000000000004</v>
      </c>
      <c r="U18" s="33">
        <v>4.9000000000000004</v>
      </c>
      <c r="V18" s="33">
        <v>4.9000000000000004</v>
      </c>
      <c r="W18" s="33">
        <v>4.9000000000000004</v>
      </c>
      <c r="X18" s="33">
        <v>4.9000000000000004</v>
      </c>
      <c r="Y18" s="33">
        <v>4.9000000000000004</v>
      </c>
      <c r="Z18" s="33">
        <v>4.9000000000000004</v>
      </c>
      <c r="AA18" s="33">
        <v>4.9000000000000004</v>
      </c>
      <c r="AB18" s="33">
        <v>4.9000000000000004</v>
      </c>
      <c r="AC18" s="33">
        <v>4.9000000000000004</v>
      </c>
      <c r="AD18" s="33">
        <v>4.9000000000000004</v>
      </c>
      <c r="AE18" s="33">
        <v>4.9000000000000004</v>
      </c>
      <c r="AF18" s="33">
        <v>4.9000000000000004</v>
      </c>
      <c r="AG18" s="33">
        <v>4.9000000000000004</v>
      </c>
      <c r="AH18" s="33">
        <v>4.9000000000000004</v>
      </c>
      <c r="AI18" s="33">
        <v>4.9000000000000004</v>
      </c>
      <c r="AJ18" s="33">
        <v>4.9000000000000004</v>
      </c>
      <c r="AK18" s="33">
        <v>19.23</v>
      </c>
      <c r="AL18" s="33">
        <v>21.74</v>
      </c>
      <c r="AM18" s="33">
        <v>30</v>
      </c>
      <c r="AN18" s="33">
        <v>30</v>
      </c>
      <c r="AO18" s="33">
        <v>30</v>
      </c>
      <c r="AP18" s="33">
        <v>30</v>
      </c>
      <c r="AQ18" s="33">
        <v>30</v>
      </c>
      <c r="AR18" s="33">
        <v>30</v>
      </c>
      <c r="AS18" s="33">
        <v>30</v>
      </c>
      <c r="AT18" s="33">
        <v>30</v>
      </c>
      <c r="AU18" s="33">
        <v>30</v>
      </c>
      <c r="AV18" s="33">
        <v>30</v>
      </c>
      <c r="AW18" s="33">
        <v>61.2</v>
      </c>
      <c r="AX18" s="33">
        <v>61.62</v>
      </c>
      <c r="AY18" s="33">
        <v>62.92</v>
      </c>
      <c r="AZ18" s="33">
        <v>62.98</v>
      </c>
      <c r="BA18" s="33">
        <v>63.4</v>
      </c>
    </row>
    <row r="19" spans="1:53" x14ac:dyDescent="0.3">
      <c r="A19" s="34">
        <v>45789</v>
      </c>
      <c r="B19" s="97">
        <v>97.100000000000023</v>
      </c>
      <c r="C19" s="97">
        <v>285.57999999999993</v>
      </c>
      <c r="D19" s="97">
        <v>317.19</v>
      </c>
      <c r="E19" s="97">
        <v>699.86999999999989</v>
      </c>
      <c r="F19" s="27">
        <v>56.126499176025391</v>
      </c>
      <c r="G19" s="27">
        <v>34.980903625488281</v>
      </c>
      <c r="H19" s="27">
        <v>13.564231872558594</v>
      </c>
      <c r="J19" s="97">
        <v>29.227289199829102</v>
      </c>
      <c r="K19" s="97">
        <v>51.000240325927734</v>
      </c>
      <c r="L19" s="97">
        <v>59.958713531494141</v>
      </c>
      <c r="M19" s="33">
        <v>0.24276522074050352</v>
      </c>
      <c r="N19" s="33">
        <v>1.0895091251289311</v>
      </c>
      <c r="O19" s="33">
        <v>2.5640590317391587</v>
      </c>
      <c r="P19" s="33">
        <v>0.87858095884292553</v>
      </c>
      <c r="Q19" s="33">
        <v>4.34</v>
      </c>
      <c r="R19" s="33">
        <v>4.6500000000000004</v>
      </c>
      <c r="S19" s="33">
        <v>4.8099999999999996</v>
      </c>
      <c r="T19" s="33">
        <v>4.9000000000000004</v>
      </c>
      <c r="U19" s="33">
        <v>4.9000000000000004</v>
      </c>
      <c r="V19" s="33">
        <v>4.9000000000000004</v>
      </c>
      <c r="W19" s="33">
        <v>4.9000000000000004</v>
      </c>
      <c r="X19" s="33">
        <v>4.9000000000000004</v>
      </c>
      <c r="Y19" s="33">
        <v>4.9000000000000004</v>
      </c>
      <c r="Z19" s="33">
        <v>4.9000000000000004</v>
      </c>
      <c r="AA19" s="33">
        <v>4.9000000000000004</v>
      </c>
      <c r="AB19" s="33">
        <v>4.9000000000000004</v>
      </c>
      <c r="AC19" s="33">
        <v>4.9000000000000004</v>
      </c>
      <c r="AD19" s="33">
        <v>4.9000000000000004</v>
      </c>
      <c r="AE19" s="33">
        <v>4.9000000000000004</v>
      </c>
      <c r="AF19" s="33">
        <v>4.9000000000000004</v>
      </c>
      <c r="AG19" s="33">
        <v>4.9000000000000004</v>
      </c>
      <c r="AH19" s="33">
        <v>4.9000000000000004</v>
      </c>
      <c r="AI19" s="33">
        <v>4.9000000000000004</v>
      </c>
      <c r="AJ19" s="33">
        <v>4.9000000000000004</v>
      </c>
      <c r="AK19" s="33">
        <v>21.28</v>
      </c>
      <c r="AL19" s="33">
        <v>21.46</v>
      </c>
      <c r="AM19" s="33">
        <v>21.73</v>
      </c>
      <c r="AN19" s="33">
        <v>22.26</v>
      </c>
      <c r="AO19" s="33">
        <v>22.38</v>
      </c>
      <c r="AP19" s="33">
        <v>23.06</v>
      </c>
      <c r="AQ19" s="33">
        <v>23.26</v>
      </c>
      <c r="AR19" s="33">
        <v>23.38</v>
      </c>
      <c r="AS19" s="33">
        <v>25.61</v>
      </c>
      <c r="AT19" s="33">
        <v>26.29</v>
      </c>
      <c r="AU19" s="33">
        <v>27.41</v>
      </c>
      <c r="AV19" s="33">
        <v>27.46</v>
      </c>
      <c r="AW19" s="33">
        <v>61.69</v>
      </c>
      <c r="AX19" s="33">
        <v>62.36</v>
      </c>
      <c r="AY19" s="33">
        <v>63.11</v>
      </c>
      <c r="AZ19" s="33">
        <v>64.56</v>
      </c>
      <c r="BA19" s="33">
        <v>65.47</v>
      </c>
    </row>
    <row r="20" spans="1:53" x14ac:dyDescent="0.3">
      <c r="A20" s="34">
        <v>45796</v>
      </c>
      <c r="B20" s="97">
        <v>95.29000000000002</v>
      </c>
      <c r="C20" s="97">
        <v>249.47</v>
      </c>
      <c r="D20" s="97">
        <v>315.05</v>
      </c>
      <c r="E20" s="97">
        <v>659.81</v>
      </c>
      <c r="F20" s="27">
        <v>47.017223358154297</v>
      </c>
      <c r="G20" s="27">
        <v>36.207984924316406</v>
      </c>
      <c r="H20" s="27">
        <v>13.545270919799805</v>
      </c>
      <c r="J20" s="97">
        <v>25.082746505737305</v>
      </c>
      <c r="K20" s="97">
        <v>56.771354675292969</v>
      </c>
      <c r="L20" s="97">
        <v>64.133796691894531</v>
      </c>
      <c r="M20" s="33">
        <v>0.17784184256898644</v>
      </c>
      <c r="N20" s="33">
        <v>1.437046101246835</v>
      </c>
      <c r="O20" s="33">
        <v>2.7573707530922671</v>
      </c>
      <c r="P20" s="33">
        <v>0.88988374048238084</v>
      </c>
      <c r="Q20" s="33">
        <v>4.0199999999999996</v>
      </c>
      <c r="R20" s="33">
        <v>4.12</v>
      </c>
      <c r="S20" s="33">
        <v>4.33</v>
      </c>
      <c r="T20" s="33">
        <v>4.42</v>
      </c>
      <c r="U20" s="33">
        <v>4.9000000000000004</v>
      </c>
      <c r="V20" s="33">
        <v>4.9000000000000004</v>
      </c>
      <c r="W20" s="33">
        <v>4.9000000000000004</v>
      </c>
      <c r="X20" s="33">
        <v>4.9000000000000004</v>
      </c>
      <c r="Y20" s="33">
        <v>4.9000000000000004</v>
      </c>
      <c r="Z20" s="33">
        <v>4.9000000000000004</v>
      </c>
      <c r="AA20" s="33">
        <v>4.9000000000000004</v>
      </c>
      <c r="AB20" s="33">
        <v>4.9000000000000004</v>
      </c>
      <c r="AC20" s="33">
        <v>4.9000000000000004</v>
      </c>
      <c r="AD20" s="33">
        <v>4.9000000000000004</v>
      </c>
      <c r="AE20" s="33">
        <v>4.9000000000000004</v>
      </c>
      <c r="AF20" s="33">
        <v>4.9000000000000004</v>
      </c>
      <c r="AG20" s="33">
        <v>4.9000000000000004</v>
      </c>
      <c r="AH20" s="33">
        <v>4.9000000000000004</v>
      </c>
      <c r="AI20" s="33">
        <v>4.9000000000000004</v>
      </c>
      <c r="AJ20" s="33">
        <v>4.9000000000000004</v>
      </c>
      <c r="AK20" s="33">
        <v>14.89</v>
      </c>
      <c r="AL20" s="33">
        <v>19.89</v>
      </c>
      <c r="AM20" s="33">
        <v>20.149999999999999</v>
      </c>
      <c r="AN20" s="33">
        <v>20.59</v>
      </c>
      <c r="AO20" s="33">
        <v>20.63</v>
      </c>
      <c r="AP20" s="33">
        <v>20.88</v>
      </c>
      <c r="AQ20" s="33">
        <v>21.97</v>
      </c>
      <c r="AR20" s="33">
        <v>21.97</v>
      </c>
      <c r="AS20" s="33">
        <v>22.08</v>
      </c>
      <c r="AT20" s="33">
        <v>22.08</v>
      </c>
      <c r="AU20" s="33">
        <v>22.15</v>
      </c>
      <c r="AV20" s="33">
        <v>22.19</v>
      </c>
      <c r="AW20" s="33">
        <v>54.74</v>
      </c>
      <c r="AX20" s="33">
        <v>59.24</v>
      </c>
      <c r="AY20" s="33">
        <v>65.73</v>
      </c>
      <c r="AZ20" s="33">
        <v>67.52</v>
      </c>
      <c r="BA20" s="33">
        <v>67.819999999999993</v>
      </c>
    </row>
    <row r="21" spans="1:53" x14ac:dyDescent="0.3">
      <c r="A21" s="34">
        <v>45803</v>
      </c>
      <c r="B21" s="97">
        <v>86.9</v>
      </c>
      <c r="C21" s="97">
        <v>226.40999999999997</v>
      </c>
      <c r="D21" s="97">
        <v>307.76</v>
      </c>
      <c r="E21" s="97">
        <v>621.06999999999994</v>
      </c>
      <c r="F21" s="27">
        <v>69.444511413574219</v>
      </c>
      <c r="G21" s="27">
        <v>37.376052856445313</v>
      </c>
      <c r="H21" s="27">
        <v>13.889642715454102</v>
      </c>
      <c r="J21" s="97">
        <v>40.355987548828125</v>
      </c>
      <c r="K21" s="97">
        <v>60.199409484863281</v>
      </c>
      <c r="L21" s="97">
        <v>65.144851684570313</v>
      </c>
      <c r="M21" s="33">
        <v>0.4634206230598934</v>
      </c>
      <c r="N21" s="33">
        <v>1.7331871967827825</v>
      </c>
      <c r="O21" s="33">
        <v>2.9400791042279293</v>
      </c>
      <c r="P21" s="33">
        <v>1.3316597753887327</v>
      </c>
      <c r="Q21" s="33">
        <v>3.33</v>
      </c>
      <c r="R21" s="33">
        <v>3.75</v>
      </c>
      <c r="S21" s="33">
        <v>4.03</v>
      </c>
      <c r="T21" s="33">
        <v>4.1399999999999997</v>
      </c>
      <c r="U21" s="33">
        <v>4.1500000000000004</v>
      </c>
      <c r="V21" s="33">
        <v>4.18</v>
      </c>
      <c r="W21" s="33">
        <v>4.2</v>
      </c>
      <c r="X21" s="33">
        <v>4.2300000000000004</v>
      </c>
      <c r="Y21" s="33">
        <v>4.29</v>
      </c>
      <c r="Z21" s="33">
        <v>4.3600000000000003</v>
      </c>
      <c r="AA21" s="33">
        <v>4.45</v>
      </c>
      <c r="AB21" s="33">
        <v>4.49</v>
      </c>
      <c r="AC21" s="33">
        <v>4.5999999999999996</v>
      </c>
      <c r="AD21" s="33">
        <v>4.62</v>
      </c>
      <c r="AE21" s="33">
        <v>4.6399999999999997</v>
      </c>
      <c r="AF21" s="33">
        <v>4.6500000000000004</v>
      </c>
      <c r="AG21" s="33">
        <v>4.67</v>
      </c>
      <c r="AH21" s="33">
        <v>4.68</v>
      </c>
      <c r="AI21" s="33">
        <v>4.71</v>
      </c>
      <c r="AJ21" s="33">
        <v>4.7300000000000004</v>
      </c>
      <c r="AK21" s="33">
        <v>16.5</v>
      </c>
      <c r="AL21" s="33">
        <v>17.190000000000001</v>
      </c>
      <c r="AM21" s="33">
        <v>17.850000000000001</v>
      </c>
      <c r="AN21" s="33">
        <v>18.100000000000001</v>
      </c>
      <c r="AO21" s="33">
        <v>18.760000000000002</v>
      </c>
      <c r="AP21" s="33">
        <v>19.04</v>
      </c>
      <c r="AQ21" s="33">
        <v>19.3</v>
      </c>
      <c r="AR21" s="33">
        <v>19.34</v>
      </c>
      <c r="AS21" s="33">
        <v>19.440000000000001</v>
      </c>
      <c r="AT21" s="33">
        <v>20.04</v>
      </c>
      <c r="AU21" s="33">
        <v>20.13</v>
      </c>
      <c r="AV21" s="33">
        <v>20.72</v>
      </c>
      <c r="AW21" s="33">
        <v>59.51</v>
      </c>
      <c r="AX21" s="33">
        <v>61.59</v>
      </c>
      <c r="AY21" s="33">
        <v>61.71</v>
      </c>
      <c r="AZ21" s="33">
        <v>61.91</v>
      </c>
      <c r="BA21" s="33">
        <v>63.04</v>
      </c>
    </row>
    <row r="22" spans="1:53" x14ac:dyDescent="0.3">
      <c r="A22" s="34">
        <v>45810</v>
      </c>
      <c r="B22" s="97">
        <v>85.860000000000014</v>
      </c>
      <c r="C22" s="97">
        <v>267.78000000000003</v>
      </c>
      <c r="D22" s="97">
        <v>449.07</v>
      </c>
      <c r="E22" s="97">
        <v>802.71</v>
      </c>
      <c r="F22" s="27">
        <v>69.673881530761719</v>
      </c>
      <c r="G22" s="27">
        <v>34.9901123046875</v>
      </c>
      <c r="H22" s="27">
        <v>5.2993307113647461</v>
      </c>
      <c r="J22" s="97">
        <v>41.687397003173828</v>
      </c>
      <c r="K22" s="97">
        <v>52.648311614990234</v>
      </c>
      <c r="L22" s="97">
        <v>22.233161926269531</v>
      </c>
      <c r="M22" s="33">
        <v>0.48610837215782482</v>
      </c>
      <c r="N22" s="33">
        <v>1.1997949722088799</v>
      </c>
      <c r="O22" s="33">
        <v>0.26236639679031221</v>
      </c>
      <c r="P22" s="33">
        <v>0.53487149040303583</v>
      </c>
      <c r="Q22" s="33">
        <v>3.17</v>
      </c>
      <c r="R22" s="33">
        <v>3.34</v>
      </c>
      <c r="S22" s="33">
        <v>3.54</v>
      </c>
      <c r="T22" s="33">
        <v>4.05</v>
      </c>
      <c r="U22" s="33">
        <v>4.07</v>
      </c>
      <c r="V22" s="33">
        <v>4.09</v>
      </c>
      <c r="W22" s="33">
        <v>4.1100000000000003</v>
      </c>
      <c r="X22" s="33">
        <v>4.1399999999999997</v>
      </c>
      <c r="Y22" s="33">
        <v>4.16</v>
      </c>
      <c r="Z22" s="33">
        <v>4.18</v>
      </c>
      <c r="AA22" s="33">
        <v>4.3600000000000003</v>
      </c>
      <c r="AB22" s="33">
        <v>4.55</v>
      </c>
      <c r="AC22" s="33">
        <v>4.5599999999999996</v>
      </c>
      <c r="AD22" s="33">
        <v>4.58</v>
      </c>
      <c r="AE22" s="33">
        <v>4.58</v>
      </c>
      <c r="AF22" s="33">
        <v>4.83</v>
      </c>
      <c r="AG22" s="33">
        <v>4.8600000000000003</v>
      </c>
      <c r="AH22" s="33">
        <v>4.8899999999999997</v>
      </c>
      <c r="AI22" s="33">
        <v>4.9000000000000004</v>
      </c>
      <c r="AJ22" s="33">
        <v>4.9000000000000004</v>
      </c>
      <c r="AK22" s="33">
        <v>18.2</v>
      </c>
      <c r="AL22" s="33">
        <v>18.440000000000001</v>
      </c>
      <c r="AM22" s="33">
        <v>20.27</v>
      </c>
      <c r="AN22" s="33">
        <v>21.2</v>
      </c>
      <c r="AO22" s="33">
        <v>21.59</v>
      </c>
      <c r="AP22" s="33">
        <v>22.75</v>
      </c>
      <c r="AQ22" s="33">
        <v>22.83</v>
      </c>
      <c r="AR22" s="33">
        <v>22.95</v>
      </c>
      <c r="AS22" s="33">
        <v>23.28</v>
      </c>
      <c r="AT22" s="33">
        <v>23.92</v>
      </c>
      <c r="AU22" s="33">
        <v>24.99</v>
      </c>
      <c r="AV22" s="33">
        <v>27.36</v>
      </c>
      <c r="AW22" s="33">
        <v>75.37</v>
      </c>
      <c r="AX22" s="33">
        <v>76.7</v>
      </c>
      <c r="AY22" s="33">
        <v>99</v>
      </c>
      <c r="AZ22" s="33">
        <v>99</v>
      </c>
      <c r="BA22" s="33">
        <v>99</v>
      </c>
    </row>
  </sheetData>
  <phoneticPr fontId="1" type="noConversion"/>
  <conditionalFormatting sqref="O1:O104857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:P1048576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:N104857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1:M1048576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1:L1048576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:BA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1:C104857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K1:AV104857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1:B1048576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AJ104857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368D-C895-4D90-8C26-BCA2E0AAAE8A}">
  <sheetPr codeName="Sheet9">
    <tabColor theme="0"/>
  </sheetPr>
  <dimension ref="A1:AO12"/>
  <sheetViews>
    <sheetView topLeftCell="G1" workbookViewId="0">
      <pane ySplit="1" topLeftCell="A9" activePane="bottomLeft" state="frozen"/>
      <selection pane="bottomLeft" activeCell="AP9" sqref="AP9"/>
    </sheetView>
  </sheetViews>
  <sheetFormatPr defaultColWidth="4.15234375" defaultRowHeight="12.9" x14ac:dyDescent="0.3"/>
  <cols>
    <col min="1" max="1" width="4.921875" style="56" bestFit="1" customWidth="1"/>
    <col min="2" max="3" width="5.84375" style="56" bestFit="1" customWidth="1"/>
    <col min="4" max="6" width="5.84375" style="101" bestFit="1" customWidth="1"/>
    <col min="7" max="9" width="4.921875" style="129" bestFit="1" customWidth="1"/>
    <col min="10" max="10" width="4.23046875" style="127" hidden="1" customWidth="1"/>
    <col min="11" max="11" width="3.765625" style="127" hidden="1" customWidth="1"/>
    <col min="12" max="12" width="4.15234375" style="127" hidden="1" customWidth="1"/>
    <col min="13" max="13" width="4.4609375" style="128" hidden="1" customWidth="1"/>
    <col min="14" max="14" width="4" style="128" hidden="1" customWidth="1"/>
    <col min="15" max="15" width="4.3828125" style="128" hidden="1" customWidth="1"/>
    <col min="16" max="16" width="4.3828125" style="126" hidden="1" customWidth="1"/>
    <col min="17" max="17" width="3.84375" style="126" hidden="1" customWidth="1"/>
    <col min="18" max="18" width="4.23046875" style="126" hidden="1" customWidth="1"/>
    <col min="19" max="19" width="3.765625" style="57" hidden="1" customWidth="1"/>
    <col min="20" max="20" width="3" style="57" hidden="1" customWidth="1"/>
    <col min="21" max="21" width="3.765625" style="57" hidden="1" customWidth="1"/>
    <col min="22" max="22" width="3.765625" style="130" hidden="1" customWidth="1"/>
    <col min="23" max="23" width="3" style="130" hidden="1" customWidth="1"/>
    <col min="24" max="24" width="3.765625" style="130" hidden="1" customWidth="1"/>
    <col min="25" max="25" width="8.15234375" style="34" customWidth="1"/>
    <col min="26" max="29" width="4.84375" style="123" customWidth="1"/>
    <col min="30" max="32" width="8.61328125" style="45" customWidth="1"/>
    <col min="33" max="35" width="13.23046875" style="125" customWidth="1"/>
    <col min="36" max="38" width="13.23046875" style="124" customWidth="1"/>
    <col min="39" max="41" width="13.23046875" style="125" customWidth="1"/>
    <col min="42" max="16384" width="4.15234375" style="6"/>
  </cols>
  <sheetData>
    <row r="1" spans="1:41" x14ac:dyDescent="0.3">
      <c r="A1" s="56" t="s">
        <v>61</v>
      </c>
      <c r="B1" s="56" t="s">
        <v>62</v>
      </c>
      <c r="C1" s="56" t="s">
        <v>63</v>
      </c>
      <c r="D1" s="101" t="s">
        <v>64</v>
      </c>
      <c r="E1" s="101" t="s">
        <v>65</v>
      </c>
      <c r="F1" s="101" t="s">
        <v>66</v>
      </c>
      <c r="G1" s="129" t="s">
        <v>67</v>
      </c>
      <c r="H1" s="129" t="s">
        <v>68</v>
      </c>
      <c r="I1" s="129" t="s">
        <v>69</v>
      </c>
      <c r="J1" s="127" t="s">
        <v>61</v>
      </c>
      <c r="K1" s="127" t="s">
        <v>62</v>
      </c>
      <c r="L1" s="127" t="s">
        <v>63</v>
      </c>
      <c r="M1" s="128" t="s">
        <v>64</v>
      </c>
      <c r="N1" s="128" t="s">
        <v>65</v>
      </c>
      <c r="O1" s="128" t="s">
        <v>66</v>
      </c>
      <c r="P1" s="126" t="s">
        <v>67</v>
      </c>
      <c r="Q1" s="126" t="s">
        <v>68</v>
      </c>
      <c r="R1" s="126" t="s">
        <v>69</v>
      </c>
      <c r="S1" s="57" t="s">
        <v>235</v>
      </c>
      <c r="T1" s="57" t="s">
        <v>236</v>
      </c>
      <c r="U1" s="57" t="s">
        <v>237</v>
      </c>
      <c r="V1" s="130" t="s">
        <v>235</v>
      </c>
      <c r="W1" s="130" t="s">
        <v>236</v>
      </c>
      <c r="X1" s="130" t="s">
        <v>237</v>
      </c>
      <c r="Y1" s="34" t="s">
        <v>104</v>
      </c>
      <c r="Z1" s="123" t="s">
        <v>338</v>
      </c>
      <c r="AA1" s="123" t="s">
        <v>339</v>
      </c>
      <c r="AB1" s="123" t="s">
        <v>340</v>
      </c>
      <c r="AC1" s="123" t="s">
        <v>185</v>
      </c>
      <c r="AD1" s="45" t="s">
        <v>246</v>
      </c>
      <c r="AE1" s="45" t="s">
        <v>247</v>
      </c>
      <c r="AF1" s="45" t="s">
        <v>248</v>
      </c>
      <c r="AG1" s="35" t="s">
        <v>282</v>
      </c>
      <c r="AH1" s="35" t="s">
        <v>282</v>
      </c>
      <c r="AI1" s="35" t="s">
        <v>282</v>
      </c>
      <c r="AJ1" s="2" t="s">
        <v>282</v>
      </c>
      <c r="AK1" s="2" t="s">
        <v>282</v>
      </c>
      <c r="AL1" s="2" t="s">
        <v>282</v>
      </c>
      <c r="AM1" s="35" t="s">
        <v>282</v>
      </c>
      <c r="AN1" s="35" t="s">
        <v>282</v>
      </c>
      <c r="AO1" s="35" t="s">
        <v>282</v>
      </c>
    </row>
    <row r="2" spans="1:41" ht="372.9" x14ac:dyDescent="0.3">
      <c r="A2" s="56">
        <v>4.4800000190734863</v>
      </c>
      <c r="B2" s="56">
        <v>20.710000991821289</v>
      </c>
      <c r="C2" s="56">
        <v>69.068008422851563</v>
      </c>
      <c r="D2" s="226">
        <v>3.4331881999969482</v>
      </c>
      <c r="E2" s="101">
        <v>2.8002071380615234</v>
      </c>
      <c r="F2" s="101">
        <v>2.449704647064209</v>
      </c>
      <c r="G2" s="129">
        <v>39.357703518396761</v>
      </c>
      <c r="H2" s="129">
        <v>50.382594132778266</v>
      </c>
      <c r="I2" s="129">
        <v>52.179615347260615</v>
      </c>
      <c r="J2" s="127">
        <v>4.4800000190734863</v>
      </c>
      <c r="K2" s="127">
        <v>20.710000991821289</v>
      </c>
      <c r="L2" s="127">
        <v>69.068008422851563</v>
      </c>
      <c r="M2" s="128">
        <v>3.4331881999969482</v>
      </c>
      <c r="N2" s="128">
        <v>2.8002071380615234</v>
      </c>
      <c r="O2" s="128">
        <v>2.449704647064209</v>
      </c>
      <c r="P2" s="126">
        <v>39.357703518396761</v>
      </c>
      <c r="Q2" s="126">
        <v>50.382594132778266</v>
      </c>
      <c r="R2" s="126">
        <v>52.179615347260615</v>
      </c>
      <c r="S2" s="57">
        <v>34.835451303935422</v>
      </c>
      <c r="T2" s="57">
        <v>44.888211412936514</v>
      </c>
      <c r="U2" s="57">
        <v>51.211674446812346</v>
      </c>
      <c r="V2" s="130">
        <v>40.586058783231756</v>
      </c>
      <c r="W2" s="130">
        <v>51.133381481957919</v>
      </c>
      <c r="X2" s="130">
        <v>58.453739768609367</v>
      </c>
      <c r="Y2" s="34">
        <v>45670</v>
      </c>
      <c r="Z2" s="123">
        <v>174.17725651967709</v>
      </c>
      <c r="AA2" s="123">
        <v>538.65853695523811</v>
      </c>
      <c r="AB2" s="123">
        <v>819.38679114899753</v>
      </c>
      <c r="AC2" s="123">
        <v>1532.2225846239126</v>
      </c>
      <c r="AD2" s="289" t="s">
        <v>572</v>
      </c>
      <c r="AE2" s="289" t="s">
        <v>573</v>
      </c>
      <c r="AF2" s="289" t="s">
        <v>574</v>
      </c>
      <c r="AJ2" s="124" t="s">
        <v>575</v>
      </c>
      <c r="AL2" s="124" t="s">
        <v>576</v>
      </c>
      <c r="AM2" s="125" t="s">
        <v>577</v>
      </c>
      <c r="AN2" s="125" t="s">
        <v>578</v>
      </c>
      <c r="AO2" s="125" t="s">
        <v>579</v>
      </c>
    </row>
    <row r="3" spans="1:41" ht="128.6" x14ac:dyDescent="0.3">
      <c r="A3" s="56">
        <v>4.2579998970031738</v>
      </c>
      <c r="B3" s="56">
        <v>20.663999557495117</v>
      </c>
      <c r="C3" s="56">
        <v>67.300003051757813</v>
      </c>
      <c r="D3" s="226">
        <v>3.4433083534240723</v>
      </c>
      <c r="E3" s="101">
        <v>2.9031744003295898</v>
      </c>
      <c r="F3" s="101">
        <v>2.5446352958679199</v>
      </c>
      <c r="G3" s="129">
        <v>41.862135608750592</v>
      </c>
      <c r="H3" s="129">
        <v>51.371284841500859</v>
      </c>
      <c r="I3" s="129">
        <v>54.697990130438349</v>
      </c>
      <c r="J3" s="127">
        <v>4.2579998970031738</v>
      </c>
      <c r="K3" s="127">
        <v>20.663999557495117</v>
      </c>
      <c r="L3" s="127">
        <v>67.300003051757813</v>
      </c>
      <c r="M3" s="128">
        <v>3.4433083534240723</v>
      </c>
      <c r="N3" s="128">
        <v>2.9031744003295898</v>
      </c>
      <c r="O3" s="128">
        <v>2.5446352958679199</v>
      </c>
      <c r="P3" s="126">
        <v>41.862135608750592</v>
      </c>
      <c r="Q3" s="126">
        <v>51.371284841500859</v>
      </c>
      <c r="R3" s="126">
        <v>54.697990130438349</v>
      </c>
      <c r="S3" s="57">
        <v>35.668390354097554</v>
      </c>
      <c r="T3" s="57">
        <v>45.689789298246232</v>
      </c>
      <c r="U3" s="57">
        <v>52.795330419032432</v>
      </c>
      <c r="V3" s="130">
        <v>41.499187537172418</v>
      </c>
      <c r="W3" s="130">
        <v>52.059483606935459</v>
      </c>
      <c r="X3" s="130">
        <v>60.263450889618795</v>
      </c>
      <c r="Y3" s="34">
        <v>45684</v>
      </c>
      <c r="Z3" s="123">
        <v>178.34195177048775</v>
      </c>
      <c r="AA3" s="123">
        <v>548.27747157895476</v>
      </c>
      <c r="AB3" s="123">
        <v>844.72528670451879</v>
      </c>
      <c r="AC3" s="123">
        <v>1571.3447100539613</v>
      </c>
      <c r="AD3" s="289" t="s">
        <v>580</v>
      </c>
      <c r="AE3" s="289" t="s">
        <v>581</v>
      </c>
      <c r="AF3" s="289" t="s">
        <v>582</v>
      </c>
      <c r="AG3" s="125" t="s">
        <v>583</v>
      </c>
      <c r="AJ3" s="124" t="s">
        <v>584</v>
      </c>
      <c r="AL3" s="124" t="s">
        <v>585</v>
      </c>
      <c r="AM3" s="125" t="s">
        <v>586</v>
      </c>
      <c r="AN3" s="125" t="s">
        <v>587</v>
      </c>
      <c r="AO3" s="125" t="s">
        <v>588</v>
      </c>
    </row>
    <row r="4" spans="1:41" ht="141.44999999999999" x14ac:dyDescent="0.3">
      <c r="A4" s="56">
        <v>3.7360000610351563</v>
      </c>
      <c r="B4" s="56">
        <v>19.235998153686523</v>
      </c>
      <c r="C4" s="56">
        <v>64.7239990234375</v>
      </c>
      <c r="D4" s="228">
        <v>3.7938544750213623</v>
      </c>
      <c r="E4" s="101">
        <v>2.9975845813751221</v>
      </c>
      <c r="F4" s="101">
        <v>2.6429510116577148</v>
      </c>
      <c r="G4" s="129">
        <v>45.8781803891709</v>
      </c>
      <c r="H4" s="129">
        <v>54.851833174127179</v>
      </c>
      <c r="I4" s="129">
        <v>58.664299159392158</v>
      </c>
      <c r="J4" s="127">
        <v>3.7360000610351563</v>
      </c>
      <c r="K4" s="127">
        <v>19.235998153686523</v>
      </c>
      <c r="L4" s="127">
        <v>64.7239990234375</v>
      </c>
      <c r="M4" s="128">
        <v>3.7938544750213623</v>
      </c>
      <c r="N4" s="128">
        <v>2.9975845813751221</v>
      </c>
      <c r="O4" s="128">
        <v>2.6429510116577148</v>
      </c>
      <c r="P4" s="126">
        <v>45.8781803891709</v>
      </c>
      <c r="Q4" s="126">
        <v>54.851833174127179</v>
      </c>
      <c r="R4" s="126">
        <v>58.664299159392158</v>
      </c>
      <c r="S4" s="57">
        <v>39.403710666109099</v>
      </c>
      <c r="T4" s="57">
        <v>47.882686946367919</v>
      </c>
      <c r="U4" s="57">
        <v>54.920541507355466</v>
      </c>
      <c r="V4" s="130">
        <v>45.828353740872295</v>
      </c>
      <c r="W4" s="130">
        <v>54.548456362360803</v>
      </c>
      <c r="X4" s="130">
        <v>62.689005311970263</v>
      </c>
      <c r="Y4" s="34">
        <v>45698</v>
      </c>
      <c r="Z4" s="123">
        <v>197.01855333054547</v>
      </c>
      <c r="AA4" s="123">
        <v>574.59224335641488</v>
      </c>
      <c r="AB4" s="123">
        <v>878.72866411768746</v>
      </c>
      <c r="AC4" s="123">
        <v>1650.3394608046478</v>
      </c>
      <c r="AD4" s="289" t="s">
        <v>589</v>
      </c>
      <c r="AE4" s="289" t="s">
        <v>590</v>
      </c>
      <c r="AF4" s="289" t="s">
        <v>591</v>
      </c>
      <c r="AG4" s="125" t="s">
        <v>592</v>
      </c>
      <c r="AJ4" s="124" t="s">
        <v>593</v>
      </c>
      <c r="AK4" s="124" t="s">
        <v>594</v>
      </c>
      <c r="AL4" s="124" t="s">
        <v>595</v>
      </c>
      <c r="AM4" s="125" t="s">
        <v>596</v>
      </c>
      <c r="AN4" s="125" t="s">
        <v>597</v>
      </c>
      <c r="AO4" s="125" t="s">
        <v>598</v>
      </c>
    </row>
    <row r="5" spans="1:41" ht="102.9" x14ac:dyDescent="0.3">
      <c r="A5" s="56">
        <v>3.5540001392364502</v>
      </c>
      <c r="B5" s="56">
        <v>17.517999649047852</v>
      </c>
      <c r="D5" s="228">
        <v>3.8538646697998047</v>
      </c>
      <c r="E5" s="222">
        <v>3.1063733100891113</v>
      </c>
      <c r="G5" s="129">
        <v>48.994859991282844</v>
      </c>
      <c r="H5" s="129">
        <v>57.29934127584734</v>
      </c>
      <c r="J5" s="127">
        <v>3.5540001392364502</v>
      </c>
      <c r="K5" s="127">
        <v>17.517999649047852</v>
      </c>
      <c r="M5" s="128">
        <v>3.8538646697998047</v>
      </c>
      <c r="N5" s="128">
        <v>3.1063733100891113</v>
      </c>
      <c r="P5" s="126">
        <v>48.994859991282844</v>
      </c>
      <c r="Q5" s="126">
        <v>57.29934127584734</v>
      </c>
      <c r="S5" s="57">
        <v>40.634407577275752</v>
      </c>
      <c r="T5" s="57">
        <v>50.451481108353931</v>
      </c>
      <c r="V5" s="130">
        <v>47.212868367308715</v>
      </c>
      <c r="W5" s="130">
        <v>57.465542005551484</v>
      </c>
      <c r="Y5" s="34">
        <v>45712</v>
      </c>
      <c r="Z5" s="123">
        <v>203.17203788637875</v>
      </c>
      <c r="AA5" s="123">
        <v>605.41777330024706</v>
      </c>
      <c r="AC5" s="123">
        <v>1687.3184753043133</v>
      </c>
      <c r="AD5" s="289" t="s">
        <v>599</v>
      </c>
      <c r="AE5" s="289" t="s">
        <v>600</v>
      </c>
      <c r="AG5" s="125" t="s">
        <v>601</v>
      </c>
      <c r="AI5" s="125" t="s">
        <v>602</v>
      </c>
      <c r="AJ5" s="124" t="s">
        <v>603</v>
      </c>
      <c r="AK5" s="124" t="s">
        <v>604</v>
      </c>
      <c r="AL5" s="124" t="s">
        <v>605</v>
      </c>
    </row>
    <row r="6" spans="1:41" ht="77.150000000000006" x14ac:dyDescent="0.3">
      <c r="C6" s="56">
        <v>64.569999694824219</v>
      </c>
      <c r="F6" s="101">
        <v>2.7136795520782471</v>
      </c>
      <c r="I6" s="129">
        <v>60.101237645467435</v>
      </c>
      <c r="L6" s="127">
        <v>64.569999694824219</v>
      </c>
      <c r="O6" s="128">
        <v>2.6885800361633301</v>
      </c>
      <c r="R6" s="126">
        <v>60.101237645467435</v>
      </c>
      <c r="U6" s="57">
        <v>55.722781387200769</v>
      </c>
      <c r="X6" s="130">
        <v>63.416583646169229</v>
      </c>
      <c r="Y6" s="34">
        <v>45726</v>
      </c>
      <c r="AB6" s="123">
        <v>891.40426588413447</v>
      </c>
      <c r="AC6" s="123">
        <v>1699.9940770707603</v>
      </c>
      <c r="AF6" s="289" t="s">
        <v>606</v>
      </c>
      <c r="AM6" s="125" t="s">
        <v>607</v>
      </c>
      <c r="AN6" s="125" t="s">
        <v>608</v>
      </c>
      <c r="AO6" s="125" t="s">
        <v>609</v>
      </c>
    </row>
    <row r="7" spans="1:41" ht="102.9" x14ac:dyDescent="0.3">
      <c r="C7" s="56">
        <v>62.329998016357422</v>
      </c>
      <c r="F7" s="101">
        <v>2.7266559600830078</v>
      </c>
      <c r="I7" s="129">
        <v>60.252468802018512</v>
      </c>
      <c r="L7" s="127">
        <v>62.329998016357422</v>
      </c>
      <c r="O7" s="128">
        <v>2.7082819938659668</v>
      </c>
      <c r="R7" s="126">
        <v>60.252468802018512</v>
      </c>
      <c r="U7" s="57">
        <v>56.452949052488265</v>
      </c>
      <c r="X7" s="130">
        <v>64.296873983729583</v>
      </c>
      <c r="Y7" s="34">
        <v>45740</v>
      </c>
      <c r="AB7" s="123">
        <v>903.12988470635673</v>
      </c>
      <c r="AC7" s="123">
        <v>1711.7196958929826</v>
      </c>
      <c r="AF7" s="289" t="s">
        <v>610</v>
      </c>
      <c r="AM7" s="125" t="s">
        <v>611</v>
      </c>
      <c r="AN7" s="125" t="s">
        <v>612</v>
      </c>
      <c r="AO7" s="125" t="s">
        <v>613</v>
      </c>
    </row>
    <row r="8" spans="1:41" ht="180" x14ac:dyDescent="0.3">
      <c r="A8" s="56">
        <v>3.374000072479248</v>
      </c>
      <c r="B8" s="56">
        <v>16.799999237060547</v>
      </c>
      <c r="C8" s="56">
        <v>59.052001953125</v>
      </c>
      <c r="D8" s="93">
        <v>4.1963281631469727</v>
      </c>
      <c r="E8" s="226">
        <v>3.2671294212341309</v>
      </c>
      <c r="F8" s="101">
        <v>2.744452953338623</v>
      </c>
      <c r="G8" s="129">
        <v>52.083956284920163</v>
      </c>
      <c r="H8" s="129">
        <v>62.454444230587875</v>
      </c>
      <c r="I8" s="129">
        <v>62.933544229135052</v>
      </c>
      <c r="J8" s="127">
        <v>3.374000072479248</v>
      </c>
      <c r="K8" s="127">
        <v>16.799999237060547</v>
      </c>
      <c r="L8" s="127">
        <v>59.052001953125</v>
      </c>
      <c r="M8" s="128">
        <v>4.1963281631469727</v>
      </c>
      <c r="N8" s="128">
        <v>3.2671294212341309</v>
      </c>
      <c r="O8" s="128">
        <v>2.7335448265075684</v>
      </c>
      <c r="P8" s="126">
        <v>52.083956284920163</v>
      </c>
      <c r="Q8" s="126">
        <v>62.454444230587875</v>
      </c>
      <c r="R8" s="126">
        <v>62.933544229135052</v>
      </c>
      <c r="S8" s="57">
        <v>43.397146078557185</v>
      </c>
      <c r="T8" s="57">
        <v>52.909216338070706</v>
      </c>
      <c r="U8" s="57">
        <v>58.08817973681424</v>
      </c>
      <c r="V8" s="130">
        <v>50.483439272434026</v>
      </c>
      <c r="W8" s="130">
        <v>60.266824601372562</v>
      </c>
      <c r="X8" s="130">
        <v>66.212137483451102</v>
      </c>
      <c r="Y8" s="34">
        <v>45754</v>
      </c>
      <c r="Z8" s="123">
        <v>216.98573039278591</v>
      </c>
      <c r="AA8" s="123">
        <v>634.91059605684836</v>
      </c>
      <c r="AB8" s="123">
        <v>929.34123787210137</v>
      </c>
      <c r="AC8" s="123">
        <v>1781.2375643217356</v>
      </c>
      <c r="AD8" s="289" t="s">
        <v>614</v>
      </c>
      <c r="AE8" s="289" t="s">
        <v>615</v>
      </c>
      <c r="AF8" s="289" t="s">
        <v>616</v>
      </c>
      <c r="AG8" s="125" t="s">
        <v>617</v>
      </c>
      <c r="AH8" s="125" t="s">
        <v>618</v>
      </c>
      <c r="AI8" s="125" t="s">
        <v>619</v>
      </c>
      <c r="AJ8" s="124" t="s">
        <v>620</v>
      </c>
      <c r="AK8" s="124" t="s">
        <v>621</v>
      </c>
      <c r="AL8" s="124" t="s">
        <v>622</v>
      </c>
      <c r="AM8" s="125" t="s">
        <v>623</v>
      </c>
      <c r="AN8" s="125" t="s">
        <v>624</v>
      </c>
      <c r="AO8" s="125" t="s">
        <v>625</v>
      </c>
    </row>
    <row r="9" spans="1:41" ht="154.30000000000001" x14ac:dyDescent="0.3">
      <c r="B9" s="56">
        <v>16.63599967956543</v>
      </c>
      <c r="C9" s="56">
        <v>58.579998016357422</v>
      </c>
      <c r="E9" s="226">
        <v>3.3280150890350342</v>
      </c>
      <c r="F9" s="101">
        <v>2.8934357166290283</v>
      </c>
      <c r="I9" s="129">
        <v>66.717894073241425</v>
      </c>
      <c r="K9" s="127">
        <v>16.63599967956543</v>
      </c>
      <c r="L9" s="127">
        <v>58.579998016357422</v>
      </c>
      <c r="N9" s="128">
        <v>3.3280150890350342</v>
      </c>
      <c r="O9" s="128">
        <v>2.8934357166290283</v>
      </c>
      <c r="R9" s="126">
        <v>66.717894073241425</v>
      </c>
      <c r="T9" s="57">
        <v>53.450514307958272</v>
      </c>
      <c r="U9" s="57">
        <v>59.969264837833336</v>
      </c>
      <c r="W9" s="130">
        <v>60.890952680274737</v>
      </c>
      <c r="X9" s="130">
        <v>68.450824148648593</v>
      </c>
      <c r="Y9" s="34">
        <v>45768</v>
      </c>
      <c r="AA9" s="123">
        <v>641.40617169549921</v>
      </c>
      <c r="AB9" s="123">
        <v>959.50823740533338</v>
      </c>
      <c r="AC9" s="123">
        <v>1817.9001394936186</v>
      </c>
      <c r="AE9" s="289" t="s">
        <v>626</v>
      </c>
      <c r="AF9" s="289" t="s">
        <v>627</v>
      </c>
      <c r="AJ9" s="124" t="s">
        <v>628</v>
      </c>
      <c r="AK9" s="124" t="s">
        <v>629</v>
      </c>
      <c r="AM9" s="125" t="s">
        <v>630</v>
      </c>
      <c r="AN9" s="125" t="s">
        <v>631</v>
      </c>
      <c r="AO9" s="125" t="s">
        <v>632</v>
      </c>
    </row>
    <row r="10" spans="1:41" ht="25.75" x14ac:dyDescent="0.3">
      <c r="D10" s="93">
        <v>4.1994490623474121</v>
      </c>
      <c r="E10" s="226">
        <v>3.4028468132019043</v>
      </c>
      <c r="F10" s="101">
        <v>2.9113345146179199</v>
      </c>
      <c r="I10" s="129">
        <v>67.740510782100984</v>
      </c>
      <c r="M10" s="128">
        <v>4.1994490623474121</v>
      </c>
      <c r="N10" s="128">
        <v>3.4028468132019043</v>
      </c>
      <c r="O10" s="128">
        <v>2.9113345146179199</v>
      </c>
      <c r="R10" s="126">
        <v>67.740510782100984</v>
      </c>
      <c r="S10" s="57">
        <v>43.413509067265117</v>
      </c>
      <c r="T10" s="57">
        <v>53.896383568138233</v>
      </c>
      <c r="U10" s="57">
        <v>60.285258630071723</v>
      </c>
      <c r="V10" s="130">
        <v>50.50367200631046</v>
      </c>
      <c r="W10" s="130">
        <v>61.410817996756279</v>
      </c>
      <c r="X10" s="130">
        <v>68.812464991270204</v>
      </c>
      <c r="Y10" s="34">
        <v>45782</v>
      </c>
      <c r="Z10" s="123">
        <v>217.06754533632559</v>
      </c>
      <c r="AA10" s="123">
        <v>646.75660281765886</v>
      </c>
      <c r="AB10" s="123">
        <v>964.56413808114746</v>
      </c>
      <c r="AC10" s="123">
        <v>1828.388286235132</v>
      </c>
      <c r="AD10" s="289" t="s">
        <v>633</v>
      </c>
      <c r="AE10" s="289" t="s">
        <v>634</v>
      </c>
      <c r="AF10" s="289" t="s">
        <v>635</v>
      </c>
      <c r="AH10" s="125" t="s">
        <v>636</v>
      </c>
      <c r="AK10" s="124" t="s">
        <v>637</v>
      </c>
      <c r="AN10" s="125" t="s">
        <v>638</v>
      </c>
      <c r="AO10" s="125" t="s">
        <v>639</v>
      </c>
    </row>
    <row r="11" spans="1:41" ht="51.45" x14ac:dyDescent="0.3">
      <c r="A11" s="56">
        <v>3.3499999046325684</v>
      </c>
      <c r="B11" s="56">
        <v>16.044000625610352</v>
      </c>
      <c r="C11" s="56">
        <v>57.704002380371094</v>
      </c>
      <c r="F11" s="101">
        <v>2.9186310768127441</v>
      </c>
      <c r="G11" s="129">
        <v>53.828221619991403</v>
      </c>
      <c r="H11" s="129">
        <v>66.868823087020161</v>
      </c>
      <c r="I11" s="129">
        <v>69.798646462171817</v>
      </c>
      <c r="J11" s="127">
        <v>3.3499999046325684</v>
      </c>
      <c r="K11" s="127">
        <v>16.044000625610352</v>
      </c>
      <c r="L11" s="127">
        <v>57.704002380371094</v>
      </c>
      <c r="O11" s="128">
        <v>2.9186310768127441</v>
      </c>
      <c r="P11" s="126">
        <v>53.828221619991403</v>
      </c>
      <c r="Q11" s="126">
        <v>66.868823087020161</v>
      </c>
      <c r="R11" s="126">
        <v>69.798646462171817</v>
      </c>
      <c r="S11" s="57">
        <v>43.661047473710155</v>
      </c>
      <c r="T11" s="57">
        <v>55.199718177459204</v>
      </c>
      <c r="U11" s="57">
        <v>61.012125016699898</v>
      </c>
      <c r="V11" s="130">
        <v>50.774557504566516</v>
      </c>
      <c r="W11" s="130">
        <v>62.874764650777344</v>
      </c>
      <c r="X11" s="130">
        <v>69.63946052427778</v>
      </c>
      <c r="Y11" s="34">
        <v>45796</v>
      </c>
      <c r="Z11" s="123">
        <v>218.30523736855076</v>
      </c>
      <c r="AA11" s="123">
        <v>662.39661812951044</v>
      </c>
      <c r="AB11" s="123">
        <v>976.19400026719825</v>
      </c>
      <c r="AC11" s="123">
        <v>1856.8958557652595</v>
      </c>
      <c r="AD11" s="289" t="s">
        <v>640</v>
      </c>
      <c r="AE11" s="289" t="s">
        <v>641</v>
      </c>
      <c r="AF11" s="289" t="s">
        <v>642</v>
      </c>
      <c r="AG11" s="125" t="s">
        <v>643</v>
      </c>
      <c r="AI11" s="125" t="s">
        <v>644</v>
      </c>
      <c r="AJ11" s="124" t="s">
        <v>645</v>
      </c>
      <c r="AL11" s="124" t="s">
        <v>646</v>
      </c>
      <c r="AM11" s="125" t="s">
        <v>647</v>
      </c>
      <c r="AN11" s="125" t="s">
        <v>648</v>
      </c>
      <c r="AO11" s="125" t="s">
        <v>649</v>
      </c>
    </row>
    <row r="12" spans="1:41" ht="25.75" x14ac:dyDescent="0.3">
      <c r="A12" s="56">
        <v>3.2820000648498535</v>
      </c>
      <c r="E12" s="226">
        <v>3.4253120422363281</v>
      </c>
      <c r="G12" s="129">
        <v>56.375953581248353</v>
      </c>
      <c r="H12" s="129">
        <v>67.621235948592997</v>
      </c>
      <c r="J12" s="127">
        <v>3.2820000648498535</v>
      </c>
      <c r="N12" s="128">
        <v>3.4253120422363281</v>
      </c>
      <c r="P12" s="126">
        <v>56.375953581248353</v>
      </c>
      <c r="Q12" s="126">
        <v>67.621235948592997</v>
      </c>
      <c r="S12" s="57">
        <v>44.162608417783304</v>
      </c>
      <c r="T12" s="57">
        <v>55.438979196719686</v>
      </c>
      <c r="V12" s="130">
        <v>51.321174039395125</v>
      </c>
      <c r="W12" s="130">
        <v>63.148833504039523</v>
      </c>
      <c r="Y12" s="34">
        <v>45810</v>
      </c>
      <c r="Z12" s="123">
        <v>220.81304208891652</v>
      </c>
      <c r="AA12" s="123">
        <v>665.26775036063611</v>
      </c>
      <c r="AC12" s="123">
        <v>1862.2747927167509</v>
      </c>
      <c r="AD12" s="289" t="s">
        <v>824</v>
      </c>
      <c r="AE12" s="289" t="s">
        <v>839</v>
      </c>
      <c r="AG12" s="125" t="s">
        <v>825</v>
      </c>
      <c r="AI12" s="125" t="s">
        <v>826</v>
      </c>
      <c r="AK12" s="124" t="s">
        <v>840</v>
      </c>
      <c r="AL12" s="124" t="s">
        <v>841</v>
      </c>
    </row>
  </sheetData>
  <phoneticPr fontId="1" type="noConversion"/>
  <conditionalFormatting sqref="AD1:AF1048576">
    <cfRule type="containsText" dxfId="20" priority="3" operator="containsText" text="外星人">
      <formula>NOT(ISERROR(SEARCH("外星人",AD1)))</formula>
    </cfRule>
    <cfRule type="containsText" dxfId="19" priority="4" operator="containsText" text="大雷帝">
      <formula>NOT(ISERROR(SEARCH("大雷帝",AD1)))</formula>
    </cfRule>
    <cfRule type="containsText" dxfId="18" priority="5" operator="containsText" text="小雷帝">
      <formula>NOT(ISERROR(SEARCH("小雷帝",AD1)))</formula>
    </cfRule>
    <cfRule type="containsText" dxfId="17" priority="6" operator="containsText" text="大雷圣">
      <formula>NOT(ISERROR(SEARCH("大雷圣",AD1)))</formula>
    </cfRule>
    <cfRule type="containsText" dxfId="16" priority="7" operator="containsText" text="小雷圣">
      <formula>NOT(ISERROR(SEARCH("小雷圣",AD1)))</formula>
    </cfRule>
    <cfRule type="containsText" dxfId="15" priority="8" operator="containsText" text="大雷神">
      <formula>NOT(ISERROR(SEARCH("大雷神",AD1)))</formula>
    </cfRule>
    <cfRule type="containsText" dxfId="14" priority="9" operator="containsText" text="小雷神">
      <formula>NOT(ISERROR(SEARCH("小雷神",AD1)))</formula>
    </cfRule>
  </conditionalFormatting>
  <conditionalFormatting sqref="Y1:Y1048576">
    <cfRule type="expression" dxfId="13" priority="2">
      <formula>MOD(YEAR(Y1),2)=1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94122-09E6-4DA4-8FBC-4BA92E848251}">
  <sheetPr codeName="Sheet10">
    <tabColor rgb="FF0070C0"/>
  </sheetPr>
  <dimension ref="A1:AY13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2" width="4.69140625" style="29" bestFit="1" customWidth="1"/>
    <col min="3" max="3" width="5.61328125" style="29" bestFit="1" customWidth="1"/>
    <col min="4" max="6" width="5.61328125" style="3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5" width="4.921875" style="32" bestFit="1" customWidth="1"/>
    <col min="16" max="16" width="4.61328125" style="32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27" width="3.3828125" style="6" bestFit="1" customWidth="1"/>
    <col min="28" max="28" width="2.921875" style="6" bestFit="1" customWidth="1"/>
    <col min="29" max="31" width="3.3828125" style="6" bestFit="1" customWidth="1"/>
    <col min="32" max="33" width="3.84375" style="6" bestFit="1" customWidth="1"/>
    <col min="34" max="37" width="3.3828125" style="6" bestFit="1" customWidth="1"/>
    <col min="38" max="38" width="2" style="6" bestFit="1" customWidth="1"/>
    <col min="39" max="43" width="3.84375" style="6" bestFit="1" customWidth="1"/>
    <col min="44" max="45" width="2.921875" style="6" bestFit="1" customWidth="1"/>
    <col min="46" max="46" width="4.765625" style="6" bestFit="1" customWidth="1"/>
    <col min="47" max="47" width="5.691406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53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2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770</v>
      </c>
      <c r="Z1" s="267" t="s">
        <v>771</v>
      </c>
      <c r="AA1" s="267" t="s">
        <v>772</v>
      </c>
      <c r="AB1" s="267" t="s">
        <v>773</v>
      </c>
      <c r="AC1" s="267" t="s">
        <v>774</v>
      </c>
      <c r="AD1" s="267" t="s">
        <v>775</v>
      </c>
      <c r="AE1" s="267" t="s">
        <v>776</v>
      </c>
      <c r="AF1" s="267" t="s">
        <v>777</v>
      </c>
      <c r="AG1" s="267" t="s">
        <v>778</v>
      </c>
      <c r="AH1" s="267" t="s">
        <v>779</v>
      </c>
      <c r="AI1" s="267" t="s">
        <v>776</v>
      </c>
      <c r="AJ1" s="267" t="s">
        <v>775</v>
      </c>
      <c r="AK1" s="267" t="s">
        <v>774</v>
      </c>
      <c r="AL1" s="267" t="s">
        <v>773</v>
      </c>
      <c r="AM1" s="267" t="s">
        <v>780</v>
      </c>
      <c r="AN1" s="267" t="s">
        <v>781</v>
      </c>
      <c r="AO1" s="267" t="s">
        <v>782</v>
      </c>
      <c r="AP1" s="267" t="s">
        <v>783</v>
      </c>
      <c r="AQ1" s="267" t="s">
        <v>784</v>
      </c>
      <c r="AR1" s="267" t="s">
        <v>785</v>
      </c>
      <c r="AS1" s="267" t="s">
        <v>786</v>
      </c>
    </row>
    <row r="2" spans="1:51" x14ac:dyDescent="0.3">
      <c r="A2" s="268">
        <v>45658</v>
      </c>
      <c r="B2" s="177">
        <v>6.8351724137931038</v>
      </c>
      <c r="C2" s="178">
        <v>17.931034482758619</v>
      </c>
      <c r="D2" s="164">
        <v>2.623347795378872</v>
      </c>
      <c r="E2" s="154">
        <v>3.3472908889113109</v>
      </c>
      <c r="F2" s="156">
        <v>3.8416910503480981</v>
      </c>
      <c r="G2" s="81">
        <v>4</v>
      </c>
      <c r="H2" s="81">
        <v>58</v>
      </c>
      <c r="I2" s="218">
        <v>14.5</v>
      </c>
      <c r="J2" s="271">
        <v>24.59425892228035</v>
      </c>
      <c r="K2" s="24">
        <v>0.8713066316480631</v>
      </c>
      <c r="L2" s="232">
        <v>0.78372268274302936</v>
      </c>
      <c r="M2" s="230">
        <v>2.6724137931034484</v>
      </c>
      <c r="N2" s="230">
        <v>2.6551724137931036</v>
      </c>
      <c r="O2" s="218">
        <v>52.598060344827587</v>
      </c>
      <c r="P2" s="218">
        <v>7.6952060841489258</v>
      </c>
      <c r="Q2" s="269"/>
      <c r="R2" s="269">
        <v>2</v>
      </c>
      <c r="S2" s="81"/>
      <c r="T2" s="81"/>
      <c r="U2" s="81">
        <v>2</v>
      </c>
      <c r="V2" s="81"/>
      <c r="W2" s="81"/>
      <c r="X2" s="81"/>
      <c r="Y2" s="270">
        <v>3</v>
      </c>
      <c r="Z2" s="270">
        <v>2</v>
      </c>
      <c r="AA2" s="270">
        <v>1</v>
      </c>
      <c r="AB2" s="270"/>
      <c r="AC2" s="270"/>
      <c r="AD2" s="270"/>
      <c r="AE2" s="270"/>
      <c r="AF2" s="270">
        <v>19</v>
      </c>
      <c r="AG2" s="270">
        <v>12</v>
      </c>
      <c r="AH2" s="270">
        <v>6</v>
      </c>
      <c r="AI2" s="270">
        <v>3</v>
      </c>
      <c r="AJ2" s="270">
        <v>1</v>
      </c>
      <c r="AK2" s="270"/>
      <c r="AL2" s="270"/>
      <c r="AM2" s="270">
        <v>57</v>
      </c>
      <c r="AN2" s="270">
        <v>57</v>
      </c>
      <c r="AO2" s="270">
        <v>57</v>
      </c>
      <c r="AP2" s="270">
        <v>49</v>
      </c>
      <c r="AQ2" s="270">
        <v>9</v>
      </c>
      <c r="AR2" s="270">
        <v>1</v>
      </c>
      <c r="AS2" s="270"/>
      <c r="AT2" s="272">
        <v>4.17</v>
      </c>
      <c r="AU2" s="273">
        <v>11.08</v>
      </c>
      <c r="AV2" s="4">
        <v>3.63</v>
      </c>
      <c r="AW2" s="274">
        <v>1.66</v>
      </c>
      <c r="AX2" s="274">
        <v>44.7</v>
      </c>
      <c r="AY2" s="275">
        <v>13.5</v>
      </c>
    </row>
    <row r="3" spans="1:51" x14ac:dyDescent="0.3">
      <c r="A3" s="268">
        <v>45689</v>
      </c>
      <c r="B3" s="179">
        <v>7.4426039387308531</v>
      </c>
      <c r="C3" s="178">
        <v>16.527352297592998</v>
      </c>
      <c r="D3" s="169">
        <v>2.2206411134664403</v>
      </c>
      <c r="E3" s="160">
        <v>2.8821587230652082</v>
      </c>
      <c r="F3" s="154">
        <v>3.3037659462494893</v>
      </c>
      <c r="G3" s="81">
        <v>23</v>
      </c>
      <c r="H3" s="81">
        <v>457</v>
      </c>
      <c r="I3" s="218">
        <v>19.869565217391305</v>
      </c>
      <c r="J3" s="271">
        <v>19.614328340406153</v>
      </c>
      <c r="K3" s="24">
        <v>0.87238586811426544</v>
      </c>
      <c r="L3" s="232">
        <v>0.7704784249719473</v>
      </c>
      <c r="M3" s="230">
        <v>2.7002188183807441</v>
      </c>
      <c r="N3" s="230">
        <v>3.0809628008752736</v>
      </c>
      <c r="O3" s="218">
        <v>51.534053610503285</v>
      </c>
      <c r="P3" s="218">
        <v>6.9241966971160771</v>
      </c>
      <c r="Q3" s="269">
        <v>1175</v>
      </c>
      <c r="R3" s="269">
        <v>107</v>
      </c>
      <c r="S3" s="81">
        <v>3</v>
      </c>
      <c r="T3" s="81">
        <v>10</v>
      </c>
      <c r="U3" s="81">
        <v>6</v>
      </c>
      <c r="V3" s="81"/>
      <c r="W3" s="81">
        <v>8</v>
      </c>
      <c r="X3" s="81">
        <v>6</v>
      </c>
      <c r="Y3" s="270">
        <v>29</v>
      </c>
      <c r="Z3" s="270">
        <v>23</v>
      </c>
      <c r="AA3" s="270">
        <v>16</v>
      </c>
      <c r="AB3" s="270">
        <v>8</v>
      </c>
      <c r="AC3" s="270">
        <v>4</v>
      </c>
      <c r="AD3" s="270">
        <v>2</v>
      </c>
      <c r="AE3" s="270"/>
      <c r="AF3" s="270">
        <v>151</v>
      </c>
      <c r="AG3" s="270">
        <v>82</v>
      </c>
      <c r="AH3" s="270">
        <v>37</v>
      </c>
      <c r="AI3" s="270">
        <v>21</v>
      </c>
      <c r="AJ3" s="270">
        <v>9</v>
      </c>
      <c r="AK3" s="270">
        <v>4</v>
      </c>
      <c r="AL3" s="270"/>
      <c r="AM3" s="270">
        <v>418</v>
      </c>
      <c r="AN3" s="270">
        <v>418</v>
      </c>
      <c r="AO3" s="270">
        <v>414</v>
      </c>
      <c r="AP3" s="270">
        <v>352</v>
      </c>
      <c r="AQ3" s="270">
        <v>92</v>
      </c>
      <c r="AR3" s="270">
        <v>14</v>
      </c>
      <c r="AS3" s="270"/>
      <c r="AT3" s="276">
        <v>3.42</v>
      </c>
      <c r="AU3" s="6">
        <v>78.510000000000005</v>
      </c>
      <c r="AV3" s="272">
        <v>3.93</v>
      </c>
      <c r="AW3" s="273">
        <v>0.14000000000000001</v>
      </c>
      <c r="AX3" s="274">
        <v>49.7</v>
      </c>
      <c r="AY3" s="6">
        <v>0.2</v>
      </c>
    </row>
    <row r="4" spans="1:51" x14ac:dyDescent="0.3">
      <c r="A4" s="268">
        <v>45717</v>
      </c>
      <c r="B4" s="176">
        <v>6.4139631336405527</v>
      </c>
      <c r="C4" s="178">
        <v>16.47004608294931</v>
      </c>
      <c r="D4" s="164">
        <v>2.5678423370670269</v>
      </c>
      <c r="E4" s="154">
        <v>3.3578095025972998</v>
      </c>
      <c r="F4" s="156">
        <v>3.8787064512188989</v>
      </c>
      <c r="G4" s="81">
        <v>25</v>
      </c>
      <c r="H4" s="81">
        <v>434</v>
      </c>
      <c r="I4" s="218">
        <v>17.36</v>
      </c>
      <c r="J4" s="214">
        <v>25.169948920239026</v>
      </c>
      <c r="K4" s="24">
        <v>0.86570343613966838</v>
      </c>
      <c r="L4" s="232">
        <v>0.76473734888199429</v>
      </c>
      <c r="M4" s="230">
        <v>2.8018433179723501</v>
      </c>
      <c r="N4" s="230">
        <v>3.096774193548387</v>
      </c>
      <c r="O4" s="218">
        <v>50.558035714285715</v>
      </c>
      <c r="P4" s="218">
        <v>7.8824955274710273</v>
      </c>
      <c r="Q4" s="269">
        <v>919</v>
      </c>
      <c r="R4" s="269">
        <v>120</v>
      </c>
      <c r="S4" s="81">
        <v>5</v>
      </c>
      <c r="T4" s="81">
        <v>3</v>
      </c>
      <c r="U4" s="81">
        <v>5</v>
      </c>
      <c r="V4" s="81">
        <v>1</v>
      </c>
      <c r="W4" s="81">
        <v>9</v>
      </c>
      <c r="X4" s="81">
        <v>7</v>
      </c>
      <c r="Y4" s="270">
        <v>43</v>
      </c>
      <c r="Z4" s="270">
        <v>30</v>
      </c>
      <c r="AA4" s="270">
        <v>22</v>
      </c>
      <c r="AB4" s="270">
        <v>15</v>
      </c>
      <c r="AC4" s="270">
        <v>7</v>
      </c>
      <c r="AD4" s="270">
        <v>1</v>
      </c>
      <c r="AE4" s="270"/>
      <c r="AF4" s="270">
        <v>122</v>
      </c>
      <c r="AG4" s="270">
        <v>72</v>
      </c>
      <c r="AH4" s="270">
        <v>37</v>
      </c>
      <c r="AI4" s="270">
        <v>14</v>
      </c>
      <c r="AJ4" s="270">
        <v>4</v>
      </c>
      <c r="AK4" s="270"/>
      <c r="AL4" s="270"/>
      <c r="AM4" s="270">
        <v>405</v>
      </c>
      <c r="AN4" s="270">
        <v>405</v>
      </c>
      <c r="AO4" s="270">
        <v>405</v>
      </c>
      <c r="AP4" s="270">
        <v>337</v>
      </c>
      <c r="AQ4" s="270">
        <v>98</v>
      </c>
      <c r="AR4" s="270">
        <v>14</v>
      </c>
      <c r="AS4" s="270">
        <v>1</v>
      </c>
      <c r="AT4" s="276">
        <v>3.47</v>
      </c>
      <c r="AU4" s="6">
        <v>12.07</v>
      </c>
      <c r="AV4" s="272">
        <v>3.75</v>
      </c>
      <c r="AW4" s="274">
        <v>1.61</v>
      </c>
      <c r="AX4" s="277">
        <v>53.8</v>
      </c>
      <c r="AY4" s="273">
        <v>12.1</v>
      </c>
    </row>
    <row r="5" spans="1:51" x14ac:dyDescent="0.3">
      <c r="A5" s="268">
        <v>45748</v>
      </c>
      <c r="B5" s="308">
        <v>5.9940845070422535</v>
      </c>
      <c r="C5" s="178">
        <v>16.408450704225352</v>
      </c>
      <c r="D5" s="164">
        <v>2.7374406692043798</v>
      </c>
      <c r="E5" s="161">
        <v>3.5460850066799594</v>
      </c>
      <c r="F5" s="95">
        <v>4.0009264667378304</v>
      </c>
      <c r="G5" s="81">
        <v>29</v>
      </c>
      <c r="H5" s="81">
        <v>497</v>
      </c>
      <c r="I5" s="218">
        <v>17.137931034482758</v>
      </c>
      <c r="J5" s="214">
        <v>28.1346303070688</v>
      </c>
      <c r="K5" s="278">
        <v>0.88631596610453889</v>
      </c>
      <c r="L5" s="232">
        <v>0.77196137826580835</v>
      </c>
      <c r="M5" s="230">
        <v>2.7142857142857144</v>
      </c>
      <c r="N5" s="230">
        <v>2.9617706237424546</v>
      </c>
      <c r="O5" s="218">
        <v>51.528797786720325</v>
      </c>
      <c r="P5" s="218">
        <v>8.5966084939544682</v>
      </c>
      <c r="Q5" s="269">
        <v>350</v>
      </c>
      <c r="R5" s="269">
        <v>399</v>
      </c>
      <c r="S5" s="81">
        <v>15</v>
      </c>
      <c r="T5" s="81">
        <v>13</v>
      </c>
      <c r="U5" s="81">
        <v>13</v>
      </c>
      <c r="V5" s="81">
        <v>7</v>
      </c>
      <c r="W5" s="81">
        <v>30</v>
      </c>
      <c r="X5" s="81">
        <v>14</v>
      </c>
      <c r="Y5" s="270">
        <v>58</v>
      </c>
      <c r="Z5" s="270">
        <v>44</v>
      </c>
      <c r="AA5" s="270">
        <v>35</v>
      </c>
      <c r="AB5" s="270">
        <v>20</v>
      </c>
      <c r="AC5" s="270">
        <v>16</v>
      </c>
      <c r="AD5" s="270">
        <v>8</v>
      </c>
      <c r="AE5" s="270">
        <v>2</v>
      </c>
      <c r="AF5" s="270">
        <v>220</v>
      </c>
      <c r="AG5" s="270">
        <v>162</v>
      </c>
      <c r="AH5" s="270">
        <v>92</v>
      </c>
      <c r="AI5" s="270">
        <v>47</v>
      </c>
      <c r="AJ5" s="270">
        <v>32</v>
      </c>
      <c r="AK5" s="270">
        <v>9</v>
      </c>
      <c r="AL5" s="270">
        <v>5</v>
      </c>
      <c r="AM5" s="270">
        <v>456</v>
      </c>
      <c r="AN5" s="270">
        <v>456</v>
      </c>
      <c r="AO5" s="270">
        <v>456</v>
      </c>
      <c r="AP5" s="270">
        <v>413</v>
      </c>
      <c r="AQ5" s="270">
        <v>172</v>
      </c>
      <c r="AR5" s="270">
        <v>41</v>
      </c>
      <c r="AS5" s="270">
        <v>4</v>
      </c>
      <c r="AT5" s="276">
        <v>3.28</v>
      </c>
      <c r="AU5" s="275">
        <v>10.1</v>
      </c>
      <c r="AV5" s="279">
        <v>4.67</v>
      </c>
      <c r="AW5" s="280">
        <v>1.48</v>
      </c>
      <c r="AX5" s="277">
        <v>52.6</v>
      </c>
      <c r="AY5" s="275">
        <v>13.1</v>
      </c>
    </row>
    <row r="6" spans="1:51" x14ac:dyDescent="0.3">
      <c r="A6" s="268">
        <v>45778</v>
      </c>
      <c r="B6" s="308">
        <v>5.8090780141843972</v>
      </c>
      <c r="C6" s="178">
        <v>16.170212765957448</v>
      </c>
      <c r="D6" s="160">
        <v>2.7836108805000732</v>
      </c>
      <c r="E6" s="161">
        <v>3.5893929774869364</v>
      </c>
      <c r="F6" s="95">
        <v>4.0691995897836595</v>
      </c>
      <c r="G6" s="81">
        <v>22</v>
      </c>
      <c r="H6" s="81">
        <v>141</v>
      </c>
      <c r="I6" s="218">
        <v>6.4090909090909092</v>
      </c>
      <c r="J6" s="214">
        <v>29.243946443512545</v>
      </c>
      <c r="K6" s="278">
        <v>0.88208820882088212</v>
      </c>
      <c r="L6" s="232">
        <v>0.77551020408163263</v>
      </c>
      <c r="M6" s="230">
        <v>2.7304964539007091</v>
      </c>
      <c r="N6" s="230">
        <v>2.8865248226950353</v>
      </c>
      <c r="O6" s="218">
        <v>54.007978723404257</v>
      </c>
      <c r="P6" s="218">
        <v>9.2971687747228593</v>
      </c>
      <c r="Q6" s="269">
        <v>461</v>
      </c>
      <c r="R6" s="269">
        <v>97</v>
      </c>
      <c r="S6" s="81">
        <v>5</v>
      </c>
      <c r="T6" s="81">
        <v>2</v>
      </c>
      <c r="U6" s="81">
        <v>2</v>
      </c>
      <c r="V6" s="81">
        <v>3</v>
      </c>
      <c r="W6" s="81">
        <v>5</v>
      </c>
      <c r="X6" s="81">
        <v>3</v>
      </c>
      <c r="Y6" s="270">
        <v>17</v>
      </c>
      <c r="Z6" s="270">
        <v>14</v>
      </c>
      <c r="AA6" s="270">
        <v>7</v>
      </c>
      <c r="AB6" s="270">
        <v>2</v>
      </c>
      <c r="AC6" s="270">
        <v>2</v>
      </c>
      <c r="AD6" s="270">
        <v>1</v>
      </c>
      <c r="AE6" s="270">
        <v>1</v>
      </c>
      <c r="AF6" s="270">
        <v>69</v>
      </c>
      <c r="AG6" s="270">
        <v>48</v>
      </c>
      <c r="AH6" s="270">
        <v>29</v>
      </c>
      <c r="AI6" s="270">
        <v>15</v>
      </c>
      <c r="AJ6" s="270">
        <v>7</v>
      </c>
      <c r="AK6" s="270">
        <v>5</v>
      </c>
      <c r="AL6" s="270">
        <v>1</v>
      </c>
      <c r="AM6" s="270">
        <v>131</v>
      </c>
      <c r="AN6" s="270">
        <v>131</v>
      </c>
      <c r="AO6" s="270">
        <v>131</v>
      </c>
      <c r="AP6" s="270">
        <v>124</v>
      </c>
      <c r="AQ6" s="270">
        <v>54</v>
      </c>
      <c r="AR6" s="270">
        <v>9</v>
      </c>
      <c r="AS6" s="270">
        <v>1</v>
      </c>
      <c r="AT6" s="276">
        <v>3.33</v>
      </c>
      <c r="AU6" s="275">
        <v>10.01</v>
      </c>
      <c r="AV6" s="7">
        <v>4.0599999999999996</v>
      </c>
      <c r="AW6" s="274">
        <v>1.75</v>
      </c>
      <c r="AX6" s="281">
        <v>60.5</v>
      </c>
      <c r="AY6" s="275">
        <v>16.399999999999999</v>
      </c>
    </row>
    <row r="7" spans="1:51" x14ac:dyDescent="0.3">
      <c r="A7" s="268">
        <v>45809</v>
      </c>
      <c r="B7" s="308">
        <v>5.6826229508196722</v>
      </c>
      <c r="C7" s="178">
        <v>16.065573770491802</v>
      </c>
      <c r="D7" s="160">
        <v>2.8271405492730208</v>
      </c>
      <c r="E7" s="161">
        <v>3.6233556427417493</v>
      </c>
      <c r="F7" s="95">
        <v>4.1195476575121166</v>
      </c>
      <c r="G7" s="81">
        <v>2</v>
      </c>
      <c r="H7" s="81">
        <v>61</v>
      </c>
      <c r="I7" s="218">
        <v>30.5</v>
      </c>
      <c r="J7" s="214">
        <v>30.162387266572456</v>
      </c>
      <c r="K7" s="278">
        <v>0.87955182072829119</v>
      </c>
      <c r="L7" s="232">
        <v>0.78025477707006363</v>
      </c>
      <c r="M7" s="230">
        <v>2.5081967213114753</v>
      </c>
      <c r="N7" s="230">
        <v>2.8032786885245899</v>
      </c>
      <c r="O7" s="218">
        <v>54.366803278688522</v>
      </c>
      <c r="P7" s="218">
        <v>9.5672022847911382</v>
      </c>
      <c r="Q7" s="269">
        <v>146</v>
      </c>
      <c r="R7" s="269">
        <v>130</v>
      </c>
      <c r="S7" s="81">
        <v>6</v>
      </c>
      <c r="T7" s="81">
        <v>3</v>
      </c>
      <c r="U7" s="81">
        <v>1</v>
      </c>
      <c r="V7" s="81">
        <v>4</v>
      </c>
      <c r="W7" s="81">
        <v>8</v>
      </c>
      <c r="X7" s="81">
        <v>3</v>
      </c>
      <c r="Y7" s="270">
        <v>14</v>
      </c>
      <c r="Z7" s="270">
        <v>10</v>
      </c>
      <c r="AA7" s="270">
        <v>9</v>
      </c>
      <c r="AB7" s="270">
        <v>3</v>
      </c>
      <c r="AC7" s="270">
        <v>3</v>
      </c>
      <c r="AD7" s="270">
        <v>3</v>
      </c>
      <c r="AE7" s="270">
        <v>2</v>
      </c>
      <c r="AF7" s="270">
        <v>30</v>
      </c>
      <c r="AG7" s="270">
        <v>21</v>
      </c>
      <c r="AH7" s="270">
        <v>15</v>
      </c>
      <c r="AI7" s="270">
        <v>11</v>
      </c>
      <c r="AJ7" s="270">
        <v>7</v>
      </c>
      <c r="AK7" s="270">
        <v>3</v>
      </c>
      <c r="AL7" s="270"/>
      <c r="AM7" s="270">
        <v>57</v>
      </c>
      <c r="AN7" s="270">
        <v>57</v>
      </c>
      <c r="AO7" s="270">
        <v>57</v>
      </c>
      <c r="AP7" s="270">
        <v>56</v>
      </c>
      <c r="AQ7" s="270">
        <v>27</v>
      </c>
      <c r="AR7" s="270">
        <v>7</v>
      </c>
      <c r="AS7" s="270">
        <v>3</v>
      </c>
      <c r="AT7" s="276">
        <v>3.17</v>
      </c>
      <c r="AU7" s="280">
        <v>9.5399999999999991</v>
      </c>
      <c r="AV7" s="272">
        <v>3.93</v>
      </c>
      <c r="AW7" s="274">
        <v>1.86</v>
      </c>
      <c r="AX7" s="281">
        <v>60.2</v>
      </c>
      <c r="AY7" s="275">
        <v>18.8</v>
      </c>
    </row>
    <row r="8" spans="1:51" x14ac:dyDescent="0.3">
      <c r="A8" s="268"/>
      <c r="B8" s="178"/>
      <c r="C8" s="178"/>
      <c r="D8" s="154"/>
      <c r="E8" s="154"/>
      <c r="F8" s="154"/>
      <c r="G8" s="81"/>
      <c r="H8" s="81"/>
      <c r="I8" s="218"/>
      <c r="J8" s="218"/>
      <c r="K8" s="226"/>
      <c r="L8" s="226"/>
      <c r="M8" s="230"/>
      <c r="N8" s="230"/>
      <c r="O8" s="218"/>
      <c r="P8" s="218"/>
      <c r="Q8" s="269"/>
      <c r="R8" s="269"/>
      <c r="S8" s="81"/>
      <c r="T8" s="81"/>
      <c r="U8" s="81"/>
      <c r="V8" s="81"/>
      <c r="W8" s="81"/>
      <c r="X8" s="81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</row>
    <row r="9" spans="1:51" x14ac:dyDescent="0.3">
      <c r="A9" s="268"/>
      <c r="B9" s="178"/>
      <c r="C9" s="178"/>
      <c r="D9" s="154"/>
      <c r="E9" s="154"/>
      <c r="F9" s="154"/>
      <c r="G9" s="81"/>
      <c r="H9" s="81"/>
      <c r="I9" s="218"/>
      <c r="J9" s="218"/>
      <c r="K9" s="226"/>
      <c r="L9" s="226"/>
      <c r="M9" s="230"/>
      <c r="N9" s="230"/>
      <c r="O9" s="218"/>
      <c r="P9" s="218"/>
      <c r="Q9" s="269"/>
      <c r="R9" s="269"/>
      <c r="S9" s="81"/>
      <c r="T9" s="81"/>
      <c r="U9" s="81"/>
      <c r="V9" s="81"/>
      <c r="W9" s="81"/>
      <c r="X9" s="81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</row>
    <row r="10" spans="1:51" x14ac:dyDescent="0.3">
      <c r="A10" s="268"/>
      <c r="B10" s="178"/>
      <c r="C10" s="178"/>
      <c r="D10" s="154"/>
      <c r="E10" s="154"/>
      <c r="F10" s="154"/>
      <c r="G10" s="81"/>
      <c r="H10" s="81"/>
      <c r="I10" s="218"/>
      <c r="J10" s="218"/>
      <c r="K10" s="226"/>
      <c r="L10" s="226"/>
      <c r="M10" s="230"/>
      <c r="N10" s="230"/>
      <c r="O10" s="218"/>
      <c r="P10" s="218"/>
      <c r="Q10" s="269"/>
      <c r="R10" s="269"/>
      <c r="S10" s="81"/>
      <c r="T10" s="81"/>
      <c r="U10" s="81"/>
      <c r="V10" s="81"/>
      <c r="W10" s="81"/>
      <c r="X10" s="81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</row>
    <row r="11" spans="1:51" x14ac:dyDescent="0.3">
      <c r="A11" s="268"/>
      <c r="B11" s="178"/>
      <c r="C11" s="178"/>
      <c r="D11" s="154"/>
      <c r="E11" s="154"/>
      <c r="F11" s="154"/>
      <c r="G11" s="81"/>
      <c r="H11" s="81"/>
      <c r="I11" s="218"/>
      <c r="J11" s="218"/>
      <c r="K11" s="226"/>
      <c r="L11" s="226"/>
      <c r="M11" s="230"/>
      <c r="N11" s="230"/>
      <c r="O11" s="218"/>
      <c r="P11" s="218"/>
      <c r="Q11" s="269"/>
      <c r="R11" s="269"/>
      <c r="S11" s="81"/>
      <c r="T11" s="81"/>
      <c r="U11" s="81"/>
      <c r="V11" s="81"/>
      <c r="W11" s="81"/>
      <c r="X11" s="81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</row>
    <row r="12" spans="1:51" x14ac:dyDescent="0.3">
      <c r="A12" s="268"/>
      <c r="B12" s="178"/>
      <c r="C12" s="178"/>
      <c r="D12" s="154"/>
      <c r="E12" s="154"/>
      <c r="F12" s="154"/>
      <c r="G12" s="81"/>
      <c r="H12" s="81"/>
      <c r="I12" s="218"/>
      <c r="J12" s="218"/>
      <c r="K12" s="226"/>
      <c r="L12" s="226"/>
      <c r="M12" s="230"/>
      <c r="N12" s="230"/>
      <c r="O12" s="218"/>
      <c r="P12" s="218"/>
      <c r="Q12" s="269"/>
      <c r="R12" s="269"/>
      <c r="S12" s="81"/>
      <c r="T12" s="81"/>
      <c r="U12" s="81"/>
      <c r="V12" s="81"/>
      <c r="W12" s="81"/>
      <c r="X12" s="81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</row>
    <row r="13" spans="1:51" x14ac:dyDescent="0.3">
      <c r="A13" s="268"/>
      <c r="B13" s="178"/>
      <c r="C13" s="178"/>
      <c r="D13" s="154"/>
      <c r="E13" s="154"/>
      <c r="F13" s="154"/>
      <c r="G13" s="81"/>
      <c r="H13" s="81"/>
      <c r="I13" s="218"/>
      <c r="J13" s="218"/>
      <c r="K13" s="226"/>
      <c r="L13" s="226"/>
      <c r="M13" s="230"/>
      <c r="N13" s="230"/>
      <c r="O13" s="218"/>
      <c r="P13" s="218"/>
      <c r="Q13" s="269"/>
      <c r="R13" s="269"/>
      <c r="S13" s="81"/>
      <c r="T13" s="81"/>
      <c r="U13" s="81"/>
      <c r="V13" s="81"/>
      <c r="W13" s="81"/>
      <c r="X13" s="81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{04FF4EE3-3F8B-4D70-8D39-8150F71CE549}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F4EE3-3F8B-4D70-8D39-8150F71CE5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98227-1263-4E1D-91C9-123F1C555EC2}">
  <sheetPr codeName="Sheet15">
    <tabColor rgb="FF0070C0"/>
  </sheetPr>
  <dimension ref="A1:AY13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3" width="5.84375" style="28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5" width="4.765625" style="27" bestFit="1" customWidth="1"/>
    <col min="16" max="16" width="4.61328125" style="32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5" width="3.84375" style="6" bestFit="1" customWidth="1"/>
    <col min="36" max="36" width="3.3828125" style="6" bestFit="1" customWidth="1"/>
    <col min="37" max="37" width="2.921875" style="6" bestFit="1" customWidth="1"/>
    <col min="38" max="38" width="3.3828125" style="6" bestFit="1" customWidth="1"/>
    <col min="39" max="41" width="3.84375" style="6" bestFit="1" customWidth="1"/>
    <col min="42" max="45" width="2.921875" style="6" bestFit="1" customWidth="1"/>
    <col min="46" max="47" width="5.691406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787</v>
      </c>
      <c r="Z1" s="267" t="s">
        <v>788</v>
      </c>
      <c r="AA1" s="267" t="s">
        <v>789</v>
      </c>
      <c r="AB1" s="267" t="s">
        <v>783</v>
      </c>
      <c r="AC1" s="267" t="s">
        <v>790</v>
      </c>
      <c r="AD1" s="267" t="s">
        <v>791</v>
      </c>
      <c r="AE1" s="267" t="s">
        <v>792</v>
      </c>
      <c r="AF1" s="267" t="s">
        <v>793</v>
      </c>
      <c r="AG1" s="267" t="s">
        <v>794</v>
      </c>
      <c r="AH1" s="267" t="s">
        <v>795</v>
      </c>
      <c r="AI1" s="267" t="s">
        <v>796</v>
      </c>
      <c r="AJ1" s="267" t="s">
        <v>777</v>
      </c>
      <c r="AK1" s="267" t="s">
        <v>778</v>
      </c>
      <c r="AL1" s="267" t="s">
        <v>779</v>
      </c>
      <c r="AM1" s="267" t="s">
        <v>784</v>
      </c>
      <c r="AN1" s="267" t="s">
        <v>797</v>
      </c>
      <c r="AO1" s="267" t="s">
        <v>798</v>
      </c>
      <c r="AP1" s="267" t="s">
        <v>799</v>
      </c>
      <c r="AQ1" s="267" t="s">
        <v>800</v>
      </c>
      <c r="AR1" s="267" t="s">
        <v>801</v>
      </c>
      <c r="AS1" s="267" t="s">
        <v>802</v>
      </c>
    </row>
    <row r="2" spans="1:51" x14ac:dyDescent="0.3">
      <c r="A2" s="268">
        <v>45658</v>
      </c>
      <c r="B2" s="282">
        <v>26.977962962962962</v>
      </c>
      <c r="C2" s="230">
        <v>64.148148148148152</v>
      </c>
      <c r="D2" s="235">
        <v>2.3777980656365623</v>
      </c>
      <c r="E2" s="222">
        <v>3.0635429465750508</v>
      </c>
      <c r="F2" s="226">
        <v>3.3806742128348928</v>
      </c>
      <c r="G2" s="81">
        <v>4</v>
      </c>
      <c r="H2" s="81">
        <v>54</v>
      </c>
      <c r="I2" s="218">
        <v>13.5</v>
      </c>
      <c r="J2" s="217">
        <v>38.369273493017815</v>
      </c>
      <c r="K2" s="278">
        <v>0.90619289340101516</v>
      </c>
      <c r="L2" s="232">
        <v>0.77615953394577653</v>
      </c>
      <c r="M2" s="230">
        <v>7.4444444444444446</v>
      </c>
      <c r="N2" s="230">
        <v>7.9814814814814818</v>
      </c>
      <c r="O2" s="269">
        <v>202.28125</v>
      </c>
      <c r="P2" s="218">
        <v>7.4980179295858758</v>
      </c>
      <c r="Q2" s="269"/>
      <c r="R2" s="269">
        <v>15</v>
      </c>
      <c r="S2" s="81">
        <v>2</v>
      </c>
      <c r="T2" s="81">
        <v>2</v>
      </c>
      <c r="U2" s="81">
        <v>1</v>
      </c>
      <c r="V2" s="81"/>
      <c r="W2" s="81"/>
      <c r="X2" s="81"/>
      <c r="Y2" s="270">
        <v>11</v>
      </c>
      <c r="Z2" s="270">
        <v>6</v>
      </c>
      <c r="AA2" s="270">
        <v>3</v>
      </c>
      <c r="AB2" s="270"/>
      <c r="AC2" s="270"/>
      <c r="AD2" s="270"/>
      <c r="AE2" s="270"/>
      <c r="AF2" s="270">
        <v>51</v>
      </c>
      <c r="AG2" s="270">
        <v>40</v>
      </c>
      <c r="AH2" s="270">
        <v>26</v>
      </c>
      <c r="AI2" s="270">
        <v>13</v>
      </c>
      <c r="AJ2" s="270">
        <v>2</v>
      </c>
      <c r="AK2" s="270"/>
      <c r="AL2" s="270"/>
      <c r="AM2" s="270">
        <v>50</v>
      </c>
      <c r="AN2" s="270">
        <v>35</v>
      </c>
      <c r="AO2" s="270">
        <v>18</v>
      </c>
      <c r="AP2" s="270">
        <v>6</v>
      </c>
      <c r="AQ2" s="270"/>
      <c r="AR2" s="270"/>
      <c r="AS2" s="270"/>
      <c r="AT2" s="281">
        <v>20.059999999999999</v>
      </c>
      <c r="AU2" s="6">
        <v>40.31</v>
      </c>
      <c r="AV2" s="283">
        <v>2.99</v>
      </c>
      <c r="AW2" s="274">
        <v>1.82</v>
      </c>
      <c r="AX2" s="277">
        <v>53.4</v>
      </c>
      <c r="AY2" s="280">
        <v>25.1</v>
      </c>
    </row>
    <row r="3" spans="1:51" x14ac:dyDescent="0.3">
      <c r="A3" s="268">
        <v>45689</v>
      </c>
      <c r="B3" s="284">
        <v>25.989519999999999</v>
      </c>
      <c r="C3" s="230">
        <v>65.343999999999994</v>
      </c>
      <c r="D3" s="236">
        <v>2.5142442030479977</v>
      </c>
      <c r="E3" s="222">
        <v>3.1939027731177796</v>
      </c>
      <c r="F3" s="229">
        <v>3.5537401229418628</v>
      </c>
      <c r="G3" s="81">
        <v>23</v>
      </c>
      <c r="H3" s="81">
        <v>125</v>
      </c>
      <c r="I3" s="218">
        <v>5.4347826086956523</v>
      </c>
      <c r="J3" s="217">
        <v>41.645079069665329</v>
      </c>
      <c r="K3" s="278">
        <v>0.89874404504114325</v>
      </c>
      <c r="L3" s="232">
        <v>0.787201233616037</v>
      </c>
      <c r="M3" s="230">
        <v>7.2960000000000003</v>
      </c>
      <c r="N3" s="230">
        <v>7.92</v>
      </c>
      <c r="O3" s="269">
        <v>205.1985</v>
      </c>
      <c r="P3" s="218">
        <v>7.8954324666250084</v>
      </c>
      <c r="Q3" s="269">
        <v>346</v>
      </c>
      <c r="R3" s="269">
        <v>124</v>
      </c>
      <c r="S3" s="81">
        <v>6</v>
      </c>
      <c r="T3" s="81">
        <v>8</v>
      </c>
      <c r="U3" s="81">
        <v>6</v>
      </c>
      <c r="V3" s="81">
        <v>1</v>
      </c>
      <c r="W3" s="81">
        <v>9</v>
      </c>
      <c r="X3" s="81">
        <v>3</v>
      </c>
      <c r="Y3" s="270">
        <v>22</v>
      </c>
      <c r="Z3" s="270">
        <v>15</v>
      </c>
      <c r="AA3" s="270">
        <v>10</v>
      </c>
      <c r="AB3" s="270">
        <v>7</v>
      </c>
      <c r="AC3" s="270">
        <v>6</v>
      </c>
      <c r="AD3" s="270">
        <v>4</v>
      </c>
      <c r="AE3" s="270">
        <v>2</v>
      </c>
      <c r="AF3" s="270">
        <v>123</v>
      </c>
      <c r="AG3" s="270">
        <v>109</v>
      </c>
      <c r="AH3" s="270">
        <v>76</v>
      </c>
      <c r="AI3" s="270">
        <v>47</v>
      </c>
      <c r="AJ3" s="270">
        <v>16</v>
      </c>
      <c r="AK3" s="270">
        <v>3</v>
      </c>
      <c r="AL3" s="270">
        <v>1</v>
      </c>
      <c r="AM3" s="270">
        <v>122</v>
      </c>
      <c r="AN3" s="270">
        <v>112</v>
      </c>
      <c r="AO3" s="270">
        <v>57</v>
      </c>
      <c r="AP3" s="270">
        <v>19</v>
      </c>
      <c r="AQ3" s="270">
        <v>5</v>
      </c>
      <c r="AR3" s="270">
        <v>1</v>
      </c>
      <c r="AS3" s="270"/>
      <c r="AT3" s="270">
        <v>16.43</v>
      </c>
      <c r="AU3" s="6">
        <v>44.05</v>
      </c>
      <c r="AV3" s="270">
        <v>3.32</v>
      </c>
      <c r="AW3" s="274">
        <v>1.77</v>
      </c>
      <c r="AX3" s="285">
        <v>62.6</v>
      </c>
      <c r="AY3" s="280">
        <v>26.5</v>
      </c>
    </row>
    <row r="4" spans="1:51" x14ac:dyDescent="0.3">
      <c r="A4" s="268">
        <v>45717</v>
      </c>
      <c r="B4" s="282">
        <v>26.38688888888889</v>
      </c>
      <c r="C4" s="230">
        <v>64.422222222222217</v>
      </c>
      <c r="D4" s="235">
        <v>2.4414481939683852</v>
      </c>
      <c r="E4" s="222">
        <v>3.1017087610850504</v>
      </c>
      <c r="F4" s="226">
        <v>3.4326812137340936</v>
      </c>
      <c r="G4" s="81">
        <v>25</v>
      </c>
      <c r="H4" s="81">
        <v>45</v>
      </c>
      <c r="I4" s="218">
        <v>1.8</v>
      </c>
      <c r="J4" s="217">
        <v>40.01204936736913</v>
      </c>
      <c r="K4" s="278">
        <v>0.90358194308145234</v>
      </c>
      <c r="L4" s="232">
        <v>0.78713005701873484</v>
      </c>
      <c r="M4" s="230">
        <v>7.0444444444444443</v>
      </c>
      <c r="N4" s="230">
        <v>8</v>
      </c>
      <c r="O4" s="269">
        <v>205.95</v>
      </c>
      <c r="P4" s="218">
        <v>7.8050125904279062</v>
      </c>
      <c r="Q4" s="269"/>
      <c r="R4" s="269">
        <v>15</v>
      </c>
      <c r="S4" s="81">
        <v>1</v>
      </c>
      <c r="T4" s="81">
        <v>5</v>
      </c>
      <c r="U4" s="81"/>
      <c r="V4" s="81"/>
      <c r="W4" s="81"/>
      <c r="X4" s="81"/>
      <c r="Y4" s="270">
        <v>8</v>
      </c>
      <c r="Z4" s="270">
        <v>4</v>
      </c>
      <c r="AA4" s="270">
        <v>2</v>
      </c>
      <c r="AB4" s="270"/>
      <c r="AC4" s="270"/>
      <c r="AD4" s="270"/>
      <c r="AE4" s="270"/>
      <c r="AF4" s="270">
        <v>42</v>
      </c>
      <c r="AG4" s="270">
        <v>37</v>
      </c>
      <c r="AH4" s="270">
        <v>28</v>
      </c>
      <c r="AI4" s="270">
        <v>16</v>
      </c>
      <c r="AJ4" s="270">
        <v>6</v>
      </c>
      <c r="AK4" s="270"/>
      <c r="AL4" s="270"/>
      <c r="AM4" s="270">
        <v>42</v>
      </c>
      <c r="AN4" s="270">
        <v>36</v>
      </c>
      <c r="AO4" s="270">
        <v>21</v>
      </c>
      <c r="AP4" s="270">
        <v>5</v>
      </c>
      <c r="AQ4" s="270"/>
      <c r="AR4" s="270"/>
      <c r="AS4" s="270"/>
      <c r="AT4" s="281">
        <v>20.59</v>
      </c>
      <c r="AU4" s="6">
        <v>44.72</v>
      </c>
      <c r="AV4" s="283">
        <v>2.92</v>
      </c>
      <c r="AW4" s="280">
        <v>1.49</v>
      </c>
      <c r="AX4" s="277">
        <v>53.6</v>
      </c>
      <c r="AY4" s="275">
        <v>21.3</v>
      </c>
    </row>
    <row r="5" spans="1:51" x14ac:dyDescent="0.3">
      <c r="A5" s="268">
        <v>45748</v>
      </c>
      <c r="B5" s="284">
        <v>24.611088709677418</v>
      </c>
      <c r="C5" s="230">
        <v>64.024193548387103</v>
      </c>
      <c r="D5" s="236">
        <v>2.6014368687075553</v>
      </c>
      <c r="E5" s="226">
        <v>3.3419894979151477</v>
      </c>
      <c r="F5" s="229">
        <v>3.6740913075177559</v>
      </c>
      <c r="G5" s="81">
        <v>29</v>
      </c>
      <c r="H5" s="81">
        <v>248</v>
      </c>
      <c r="I5" s="218">
        <v>8.5517241379310338</v>
      </c>
      <c r="J5" s="217">
        <v>44.764808136790769</v>
      </c>
      <c r="K5" s="278">
        <v>0.90960981047937572</v>
      </c>
      <c r="L5" s="232">
        <v>0.77840964800470636</v>
      </c>
      <c r="M5" s="230">
        <v>7.383064516129032</v>
      </c>
      <c r="N5" s="230">
        <v>8.2822580645161299</v>
      </c>
      <c r="O5" s="269">
        <v>208.32132056451613</v>
      </c>
      <c r="P5" s="218">
        <v>8.4645308877620398</v>
      </c>
      <c r="Q5" s="269">
        <v>223</v>
      </c>
      <c r="R5" s="269">
        <v>380</v>
      </c>
      <c r="S5" s="81">
        <v>24</v>
      </c>
      <c r="T5" s="81">
        <v>16</v>
      </c>
      <c r="U5" s="81">
        <v>18</v>
      </c>
      <c r="V5" s="81">
        <v>5</v>
      </c>
      <c r="W5" s="81">
        <v>20</v>
      </c>
      <c r="X5" s="81">
        <v>15</v>
      </c>
      <c r="Y5" s="270">
        <v>91</v>
      </c>
      <c r="Z5" s="270">
        <v>64</v>
      </c>
      <c r="AA5" s="270">
        <v>36</v>
      </c>
      <c r="AB5" s="270">
        <v>21</v>
      </c>
      <c r="AC5" s="270">
        <v>9</v>
      </c>
      <c r="AD5" s="270">
        <v>3</v>
      </c>
      <c r="AE5" s="270">
        <v>2</v>
      </c>
      <c r="AF5" s="270">
        <v>243</v>
      </c>
      <c r="AG5" s="270">
        <v>226</v>
      </c>
      <c r="AH5" s="270">
        <v>180</v>
      </c>
      <c r="AI5" s="270">
        <v>143</v>
      </c>
      <c r="AJ5" s="270">
        <v>67</v>
      </c>
      <c r="AK5" s="270">
        <v>19</v>
      </c>
      <c r="AL5" s="270">
        <v>4</v>
      </c>
      <c r="AM5" s="270">
        <v>244</v>
      </c>
      <c r="AN5" s="270">
        <v>229</v>
      </c>
      <c r="AO5" s="270">
        <v>177</v>
      </c>
      <c r="AP5" s="270">
        <v>86</v>
      </c>
      <c r="AQ5" s="270">
        <v>24</v>
      </c>
      <c r="AR5" s="270">
        <v>6</v>
      </c>
      <c r="AS5" s="270"/>
      <c r="AT5" s="4">
        <v>15.62</v>
      </c>
      <c r="AU5" s="6">
        <v>43.75</v>
      </c>
      <c r="AV5" s="270">
        <v>3.37</v>
      </c>
      <c r="AW5" s="280">
        <v>1.3</v>
      </c>
      <c r="AX5" s="285">
        <v>64.900000000000006</v>
      </c>
      <c r="AY5" s="275">
        <v>17.100000000000001</v>
      </c>
    </row>
    <row r="6" spans="1:51" x14ac:dyDescent="0.3">
      <c r="A6" s="268">
        <v>45778</v>
      </c>
      <c r="B6" s="238">
        <v>23.511717171717173</v>
      </c>
      <c r="C6" s="230">
        <v>65.222222222222229</v>
      </c>
      <c r="D6" s="223">
        <v>2.7740305714752154</v>
      </c>
      <c r="E6" s="226">
        <v>3.4957854669496404</v>
      </c>
      <c r="F6" s="228">
        <v>3.8111236177104906</v>
      </c>
      <c r="G6" s="81">
        <v>22</v>
      </c>
      <c r="H6" s="81">
        <v>99</v>
      </c>
      <c r="I6" s="218">
        <v>4.5</v>
      </c>
      <c r="J6" s="217">
        <v>49.286413154656088</v>
      </c>
      <c r="K6" s="286">
        <v>0.91725848269642651</v>
      </c>
      <c r="L6" s="287">
        <v>0.79353570111834826</v>
      </c>
      <c r="M6" s="230">
        <v>6.9494949494949498</v>
      </c>
      <c r="N6" s="230">
        <v>7.8181818181818183</v>
      </c>
      <c r="O6" s="269">
        <v>222.30555555555554</v>
      </c>
      <c r="P6" s="218">
        <v>9.4550965347172689</v>
      </c>
      <c r="Q6" s="269">
        <v>79</v>
      </c>
      <c r="R6" s="269">
        <v>410</v>
      </c>
      <c r="S6" s="81">
        <v>22</v>
      </c>
      <c r="T6" s="81">
        <v>18</v>
      </c>
      <c r="U6" s="81">
        <v>18</v>
      </c>
      <c r="V6" s="81">
        <v>6</v>
      </c>
      <c r="W6" s="81">
        <v>25</v>
      </c>
      <c r="X6" s="81">
        <v>14</v>
      </c>
      <c r="Y6" s="270">
        <v>47</v>
      </c>
      <c r="Z6" s="270">
        <v>29</v>
      </c>
      <c r="AA6" s="270">
        <v>20</v>
      </c>
      <c r="AB6" s="270">
        <v>12</v>
      </c>
      <c r="AC6" s="270">
        <v>6</v>
      </c>
      <c r="AD6" s="270">
        <v>3</v>
      </c>
      <c r="AE6" s="270">
        <v>2</v>
      </c>
      <c r="AF6" s="270">
        <v>97</v>
      </c>
      <c r="AG6" s="270">
        <v>97</v>
      </c>
      <c r="AH6" s="270">
        <v>92</v>
      </c>
      <c r="AI6" s="270">
        <v>69</v>
      </c>
      <c r="AJ6" s="270">
        <v>49</v>
      </c>
      <c r="AK6" s="270">
        <v>26</v>
      </c>
      <c r="AL6" s="270">
        <v>6</v>
      </c>
      <c r="AM6" s="270">
        <v>98</v>
      </c>
      <c r="AN6" s="270">
        <v>97</v>
      </c>
      <c r="AO6" s="270">
        <v>89</v>
      </c>
      <c r="AP6" s="270">
        <v>59</v>
      </c>
      <c r="AQ6" s="270">
        <v>23</v>
      </c>
      <c r="AR6" s="270">
        <v>7</v>
      </c>
      <c r="AS6" s="270">
        <v>2</v>
      </c>
      <c r="AT6" s="272">
        <v>14.89</v>
      </c>
      <c r="AU6" s="6">
        <v>35.15</v>
      </c>
      <c r="AV6" s="4">
        <v>3.61</v>
      </c>
      <c r="AW6" s="274">
        <v>1.65</v>
      </c>
      <c r="AX6" s="283">
        <v>69</v>
      </c>
      <c r="AY6" s="275">
        <v>22.1</v>
      </c>
    </row>
    <row r="7" spans="1:51" x14ac:dyDescent="0.3">
      <c r="A7" s="268">
        <v>45809</v>
      </c>
      <c r="B7" s="238">
        <v>23.091333333333335</v>
      </c>
      <c r="C7" s="230">
        <v>66.599999999999994</v>
      </c>
      <c r="D7" s="223">
        <v>2.8841989779715331</v>
      </c>
      <c r="E7" s="226">
        <v>3.4962612235470738</v>
      </c>
      <c r="F7" s="228">
        <v>3.8802436700638046</v>
      </c>
      <c r="G7" s="81">
        <v>2</v>
      </c>
      <c r="H7" s="81">
        <v>15</v>
      </c>
      <c r="I7" s="218">
        <v>7.5</v>
      </c>
      <c r="J7" s="216">
        <v>51.895048930693051</v>
      </c>
      <c r="K7" s="278">
        <v>0.90104166666666663</v>
      </c>
      <c r="L7" s="287">
        <v>0.82493806771263412</v>
      </c>
      <c r="M7" s="230">
        <v>6.4</v>
      </c>
      <c r="N7" s="230">
        <v>6.7333333333333334</v>
      </c>
      <c r="O7" s="269">
        <v>222.1875</v>
      </c>
      <c r="P7" s="218">
        <v>9.6221165227935437</v>
      </c>
      <c r="Q7" s="269">
        <v>54</v>
      </c>
      <c r="R7" s="269">
        <v>102</v>
      </c>
      <c r="S7" s="81">
        <v>6</v>
      </c>
      <c r="T7" s="81">
        <v>2</v>
      </c>
      <c r="U7" s="81">
        <v>2</v>
      </c>
      <c r="V7" s="81">
        <v>3</v>
      </c>
      <c r="W7" s="81">
        <v>6</v>
      </c>
      <c r="X7" s="81">
        <v>1</v>
      </c>
      <c r="Y7" s="270">
        <v>9</v>
      </c>
      <c r="Z7" s="270">
        <v>6</v>
      </c>
      <c r="AA7" s="270">
        <v>4</v>
      </c>
      <c r="AB7" s="270">
        <v>3</v>
      </c>
      <c r="AC7" s="270">
        <v>3</v>
      </c>
      <c r="AD7" s="270">
        <v>1</v>
      </c>
      <c r="AE7" s="270"/>
      <c r="AF7" s="270">
        <v>15</v>
      </c>
      <c r="AG7" s="270">
        <v>15</v>
      </c>
      <c r="AH7" s="270">
        <v>14</v>
      </c>
      <c r="AI7" s="270">
        <v>14</v>
      </c>
      <c r="AJ7" s="270">
        <v>8</v>
      </c>
      <c r="AK7" s="270">
        <v>5</v>
      </c>
      <c r="AL7" s="270">
        <v>2</v>
      </c>
      <c r="AM7" s="270">
        <v>15</v>
      </c>
      <c r="AN7" s="270">
        <v>15</v>
      </c>
      <c r="AO7" s="270">
        <v>14</v>
      </c>
      <c r="AP7" s="270">
        <v>12</v>
      </c>
      <c r="AQ7" s="270">
        <v>3</v>
      </c>
      <c r="AR7" s="270">
        <v>3</v>
      </c>
      <c r="AS7" s="270">
        <v>2</v>
      </c>
      <c r="AT7" s="5">
        <v>17.850000000000001</v>
      </c>
      <c r="AU7" s="5">
        <v>33.1</v>
      </c>
      <c r="AV7" s="270">
        <v>3.44</v>
      </c>
      <c r="AW7" s="281">
        <v>2.36</v>
      </c>
      <c r="AX7" s="285">
        <v>68.5</v>
      </c>
      <c r="AY7" s="274">
        <v>41.4</v>
      </c>
    </row>
    <row r="8" spans="1:51" x14ac:dyDescent="0.3">
      <c r="A8" s="268"/>
      <c r="B8" s="230"/>
      <c r="C8" s="230"/>
      <c r="D8" s="226"/>
      <c r="E8" s="226"/>
      <c r="F8" s="226"/>
      <c r="G8" s="81"/>
      <c r="H8" s="81"/>
      <c r="I8" s="218"/>
      <c r="J8" s="218"/>
      <c r="K8" s="226"/>
      <c r="L8" s="226"/>
      <c r="M8" s="230"/>
      <c r="N8" s="230"/>
      <c r="O8" s="269"/>
      <c r="P8" s="218"/>
      <c r="Q8" s="269"/>
      <c r="R8" s="269"/>
      <c r="S8" s="81"/>
      <c r="T8" s="81"/>
      <c r="U8" s="81"/>
      <c r="V8" s="81"/>
      <c r="W8" s="81"/>
      <c r="X8" s="81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</row>
    <row r="9" spans="1:51" x14ac:dyDescent="0.3">
      <c r="A9" s="268"/>
      <c r="B9" s="230"/>
      <c r="C9" s="230"/>
      <c r="D9" s="226"/>
      <c r="E9" s="226"/>
      <c r="F9" s="226"/>
      <c r="G9" s="81"/>
      <c r="H9" s="81"/>
      <c r="I9" s="218"/>
      <c r="J9" s="218"/>
      <c r="K9" s="226"/>
      <c r="L9" s="226"/>
      <c r="M9" s="230"/>
      <c r="N9" s="230"/>
      <c r="O9" s="269"/>
      <c r="P9" s="218"/>
      <c r="Q9" s="269"/>
      <c r="R9" s="269"/>
      <c r="S9" s="81"/>
      <c r="T9" s="81"/>
      <c r="U9" s="81"/>
      <c r="V9" s="81"/>
      <c r="W9" s="81"/>
      <c r="X9" s="81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</row>
    <row r="10" spans="1:51" x14ac:dyDescent="0.3">
      <c r="A10" s="268"/>
      <c r="B10" s="230"/>
      <c r="C10" s="230"/>
      <c r="D10" s="226"/>
      <c r="E10" s="226"/>
      <c r="F10" s="226"/>
      <c r="G10" s="81"/>
      <c r="H10" s="81"/>
      <c r="I10" s="218"/>
      <c r="J10" s="218"/>
      <c r="K10" s="226"/>
      <c r="L10" s="226"/>
      <c r="M10" s="230"/>
      <c r="N10" s="230"/>
      <c r="O10" s="269"/>
      <c r="P10" s="218"/>
      <c r="Q10" s="269"/>
      <c r="R10" s="269"/>
      <c r="S10" s="81"/>
      <c r="T10" s="81"/>
      <c r="U10" s="81"/>
      <c r="V10" s="81"/>
      <c r="W10" s="81"/>
      <c r="X10" s="81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</row>
    <row r="11" spans="1:51" x14ac:dyDescent="0.3">
      <c r="A11" s="268"/>
      <c r="B11" s="230"/>
      <c r="C11" s="230"/>
      <c r="D11" s="226"/>
      <c r="E11" s="226"/>
      <c r="F11" s="226"/>
      <c r="G11" s="81"/>
      <c r="H11" s="81"/>
      <c r="I11" s="218"/>
      <c r="J11" s="218"/>
      <c r="K11" s="226"/>
      <c r="L11" s="226"/>
      <c r="M11" s="230"/>
      <c r="N11" s="230"/>
      <c r="O11" s="269"/>
      <c r="P11" s="218"/>
      <c r="Q11" s="269"/>
      <c r="R11" s="269"/>
      <c r="S11" s="81"/>
      <c r="T11" s="81"/>
      <c r="U11" s="81"/>
      <c r="V11" s="81"/>
      <c r="W11" s="81"/>
      <c r="X11" s="81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</row>
    <row r="12" spans="1:51" x14ac:dyDescent="0.3">
      <c r="A12" s="268"/>
      <c r="B12" s="230"/>
      <c r="C12" s="230"/>
      <c r="D12" s="226"/>
      <c r="E12" s="226"/>
      <c r="F12" s="226"/>
      <c r="G12" s="81"/>
      <c r="H12" s="81"/>
      <c r="I12" s="218"/>
      <c r="J12" s="218"/>
      <c r="K12" s="226"/>
      <c r="L12" s="226"/>
      <c r="M12" s="230"/>
      <c r="N12" s="230"/>
      <c r="O12" s="269"/>
      <c r="P12" s="218"/>
      <c r="Q12" s="269"/>
      <c r="R12" s="269"/>
      <c r="S12" s="81"/>
      <c r="T12" s="81"/>
      <c r="U12" s="81"/>
      <c r="V12" s="81"/>
      <c r="W12" s="81"/>
      <c r="X12" s="81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</row>
    <row r="13" spans="1:51" x14ac:dyDescent="0.3">
      <c r="A13" s="268"/>
      <c r="B13" s="230"/>
      <c r="C13" s="230"/>
      <c r="D13" s="226"/>
      <c r="E13" s="226"/>
      <c r="F13" s="226"/>
      <c r="G13" s="81"/>
      <c r="H13" s="81"/>
      <c r="I13" s="218"/>
      <c r="J13" s="218"/>
      <c r="K13" s="226"/>
      <c r="L13" s="226"/>
      <c r="M13" s="230"/>
      <c r="N13" s="230"/>
      <c r="O13" s="269"/>
      <c r="P13" s="218"/>
      <c r="Q13" s="269"/>
      <c r="R13" s="269"/>
      <c r="S13" s="81"/>
      <c r="T13" s="81"/>
      <c r="U13" s="81"/>
      <c r="V13" s="81"/>
      <c r="W13" s="81"/>
      <c r="X13" s="81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{F12F1704-836A-4698-AE3D-518F62DC5A9D}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2F1704-836A-4698-AE3D-518F62DC5A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D6980-7167-4311-B1E8-89B3E7B3AFAF}">
  <sheetPr codeName="Sheet18">
    <tabColor rgb="FF0070C0"/>
  </sheetPr>
  <dimension ref="A1:AY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7" sqref="Q7"/>
    </sheetView>
  </sheetViews>
  <sheetFormatPr defaultColWidth="9.15234375" defaultRowHeight="12.9" x14ac:dyDescent="0.3"/>
  <cols>
    <col min="1" max="1" width="5" style="46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9" width="4" style="32" bestFit="1" customWidth="1"/>
    <col min="10" max="10" width="4.921875" style="32" bestFit="1" customWidth="1"/>
    <col min="11" max="12" width="5.84375" style="30" bestFit="1" customWidth="1"/>
    <col min="13" max="14" width="5.84375" style="28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31" width="2.921875" style="6" bestFit="1" customWidth="1"/>
    <col min="32" max="33" width="3.84375" style="6" bestFit="1" customWidth="1"/>
    <col min="34" max="38" width="3.3828125" style="6" bestFit="1" customWidth="1"/>
    <col min="39" max="41" width="3.84375" style="6" bestFit="1" customWidth="1"/>
    <col min="42" max="45" width="2.921875" style="6" bestFit="1" customWidth="1"/>
    <col min="46" max="46" width="5.69140625" style="6" bestFit="1" customWidth="1"/>
    <col min="47" max="47" width="6.61328125" style="6" bestFit="1" customWidth="1"/>
    <col min="48" max="51" width="4.765625" style="6" bestFit="1" customWidth="1"/>
    <col min="52" max="16384" width="9.15234375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4" t="s">
        <v>105</v>
      </c>
      <c r="E1" s="24" t="s">
        <v>70</v>
      </c>
      <c r="F1" s="24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803</v>
      </c>
      <c r="Z1" s="267" t="s">
        <v>804</v>
      </c>
      <c r="AA1" s="267" t="s">
        <v>805</v>
      </c>
      <c r="AB1" s="267" t="s">
        <v>806</v>
      </c>
      <c r="AC1" s="267" t="s">
        <v>807</v>
      </c>
      <c r="AD1" s="267" t="s">
        <v>801</v>
      </c>
      <c r="AE1" s="267" t="s">
        <v>808</v>
      </c>
      <c r="AF1" s="267" t="s">
        <v>809</v>
      </c>
      <c r="AG1" s="267" t="s">
        <v>795</v>
      </c>
      <c r="AH1" s="267" t="s">
        <v>810</v>
      </c>
      <c r="AI1" s="267" t="s">
        <v>796</v>
      </c>
      <c r="AJ1" s="267" t="s">
        <v>811</v>
      </c>
      <c r="AK1" s="267" t="s">
        <v>777</v>
      </c>
      <c r="AL1" s="267" t="s">
        <v>812</v>
      </c>
      <c r="AM1" s="267" t="s">
        <v>813</v>
      </c>
      <c r="AN1" s="267" t="s">
        <v>799</v>
      </c>
      <c r="AO1" s="267" t="s">
        <v>814</v>
      </c>
      <c r="AP1" s="267" t="s">
        <v>815</v>
      </c>
      <c r="AQ1" s="267" t="s">
        <v>801</v>
      </c>
      <c r="AR1" s="267" t="s">
        <v>804</v>
      </c>
      <c r="AS1" s="267" t="s">
        <v>816</v>
      </c>
    </row>
    <row r="2" spans="1:51" x14ac:dyDescent="0.3">
      <c r="A2" s="268">
        <v>45658</v>
      </c>
      <c r="B2" s="284">
        <v>78.123333333333335</v>
      </c>
      <c r="C2" s="218">
        <v>174.66666666666666</v>
      </c>
      <c r="D2" s="234">
        <v>2.2357810299953065</v>
      </c>
      <c r="E2" s="236">
        <v>2.6693902803259801</v>
      </c>
      <c r="F2" s="223">
        <v>2.8645944446814866</v>
      </c>
      <c r="G2" s="81">
        <v>4</v>
      </c>
      <c r="H2" s="81">
        <v>24</v>
      </c>
      <c r="I2" s="218">
        <v>6</v>
      </c>
      <c r="J2" s="217">
        <v>46.022688819677462</v>
      </c>
      <c r="K2" s="286">
        <v>0.93185626512753672</v>
      </c>
      <c r="L2" s="24">
        <v>0.83756243756243753</v>
      </c>
      <c r="M2" s="230">
        <v>12.708333333333334</v>
      </c>
      <c r="N2" s="230">
        <v>10</v>
      </c>
      <c r="O2" s="269">
        <v>589.62760416666663</v>
      </c>
      <c r="P2" s="230">
        <v>7.5473943444126812</v>
      </c>
      <c r="Q2" s="269"/>
      <c r="R2" s="269">
        <v>7</v>
      </c>
      <c r="S2" s="81"/>
      <c r="T2" s="81">
        <v>2</v>
      </c>
      <c r="U2" s="81">
        <v>3</v>
      </c>
      <c r="V2" s="81"/>
      <c r="W2" s="81"/>
      <c r="X2" s="81"/>
      <c r="Y2" s="270"/>
      <c r="Z2" s="270"/>
      <c r="AA2" s="270"/>
      <c r="AB2" s="270"/>
      <c r="AC2" s="270"/>
      <c r="AD2" s="270"/>
      <c r="AE2" s="270"/>
      <c r="AF2" s="270">
        <v>7</v>
      </c>
      <c r="AG2" s="270">
        <v>3</v>
      </c>
      <c r="AH2" s="270">
        <v>3</v>
      </c>
      <c r="AI2" s="270"/>
      <c r="AJ2" s="270"/>
      <c r="AK2" s="270"/>
      <c r="AL2" s="270"/>
      <c r="AM2" s="270">
        <v>17</v>
      </c>
      <c r="AN2" s="270">
        <v>7</v>
      </c>
      <c r="AO2" s="270">
        <v>3</v>
      </c>
      <c r="AP2" s="270"/>
      <c r="AQ2" s="270"/>
      <c r="AR2" s="270"/>
      <c r="AS2" s="270"/>
      <c r="AT2" s="281">
        <v>67.13</v>
      </c>
      <c r="AU2" s="6">
        <v>100.01</v>
      </c>
      <c r="AV2" s="285">
        <v>2.57</v>
      </c>
      <c r="AW2" s="274">
        <v>1.95</v>
      </c>
      <c r="AX2" s="277">
        <v>54.7</v>
      </c>
      <c r="AY2" s="280">
        <v>34.6</v>
      </c>
    </row>
    <row r="3" spans="1:51" x14ac:dyDescent="0.3">
      <c r="A3" s="268">
        <v>45689</v>
      </c>
      <c r="B3" s="284">
        <v>75.630841121495322</v>
      </c>
      <c r="C3" s="218">
        <v>172.06542056074767</v>
      </c>
      <c r="D3" s="235">
        <v>2.2750695088044486</v>
      </c>
      <c r="E3" s="223">
        <v>2.7723200494284832</v>
      </c>
      <c r="F3" s="223">
        <v>2.9841210997837502</v>
      </c>
      <c r="G3" s="81">
        <v>23</v>
      </c>
      <c r="H3" s="81">
        <v>107</v>
      </c>
      <c r="I3" s="218">
        <v>4.6521739130434785</v>
      </c>
      <c r="J3" s="217">
        <v>47.906525669474128</v>
      </c>
      <c r="K3" s="286">
        <v>0.92902397614808074</v>
      </c>
      <c r="L3" s="287">
        <v>0.82063739692444837</v>
      </c>
      <c r="M3" s="230">
        <v>14.046728971962617</v>
      </c>
      <c r="N3" s="230">
        <v>10.897196261682243</v>
      </c>
      <c r="O3" s="269">
        <v>566.86565420560748</v>
      </c>
      <c r="P3" s="230">
        <v>7.4951652764905781</v>
      </c>
      <c r="Q3" s="269">
        <v>3852</v>
      </c>
      <c r="R3" s="269">
        <v>70</v>
      </c>
      <c r="S3" s="81">
        <v>7</v>
      </c>
      <c r="T3" s="81">
        <v>11</v>
      </c>
      <c r="U3" s="81">
        <v>7</v>
      </c>
      <c r="V3" s="81"/>
      <c r="W3" s="81">
        <v>1</v>
      </c>
      <c r="X3" s="81"/>
      <c r="Y3" s="270">
        <v>3</v>
      </c>
      <c r="Z3" s="270">
        <v>1</v>
      </c>
      <c r="AA3" s="270"/>
      <c r="AB3" s="270"/>
      <c r="AC3" s="270"/>
      <c r="AD3" s="270"/>
      <c r="AE3" s="270"/>
      <c r="AF3" s="270">
        <v>49</v>
      </c>
      <c r="AG3" s="270">
        <v>30</v>
      </c>
      <c r="AH3" s="270">
        <v>17</v>
      </c>
      <c r="AI3" s="270">
        <v>6</v>
      </c>
      <c r="AJ3" s="270"/>
      <c r="AK3" s="270"/>
      <c r="AL3" s="270"/>
      <c r="AM3" s="270">
        <v>87</v>
      </c>
      <c r="AN3" s="270">
        <v>51</v>
      </c>
      <c r="AO3" s="270">
        <v>23</v>
      </c>
      <c r="AP3" s="270">
        <v>9</v>
      </c>
      <c r="AQ3" s="270">
        <v>1</v>
      </c>
      <c r="AR3" s="270"/>
      <c r="AS3" s="270"/>
      <c r="AT3" s="285">
        <v>63.69</v>
      </c>
      <c r="AU3" s="6">
        <v>98.54</v>
      </c>
      <c r="AV3" s="285">
        <v>2.68</v>
      </c>
      <c r="AW3" s="274">
        <v>1.74</v>
      </c>
      <c r="AX3" s="285">
        <v>63.4</v>
      </c>
      <c r="AY3" s="280">
        <v>31.4</v>
      </c>
    </row>
    <row r="4" spans="1:51" x14ac:dyDescent="0.3">
      <c r="A4" s="268">
        <v>45717</v>
      </c>
      <c r="B4" s="284">
        <v>75.450350877192989</v>
      </c>
      <c r="C4" s="218">
        <v>171.28070175438597</v>
      </c>
      <c r="D4" s="235">
        <v>2.2701114012467825</v>
      </c>
      <c r="E4" s="223">
        <v>2.7741026398212369</v>
      </c>
      <c r="F4" s="223">
        <v>2.9773267886166574</v>
      </c>
      <c r="G4" s="81">
        <v>25</v>
      </c>
      <c r="H4" s="81">
        <v>114</v>
      </c>
      <c r="I4" s="218">
        <v>4.5599999999999996</v>
      </c>
      <c r="J4" s="217">
        <v>47.882138903066021</v>
      </c>
      <c r="K4" s="286">
        <v>0.93174274669061652</v>
      </c>
      <c r="L4" s="287">
        <v>0.81832278613637321</v>
      </c>
      <c r="M4" s="230">
        <v>14.026315789473685</v>
      </c>
      <c r="N4" s="230">
        <v>10.552631578947368</v>
      </c>
      <c r="O4" s="269">
        <v>574.10581140350882</v>
      </c>
      <c r="P4" s="230">
        <v>7.6090542287597049</v>
      </c>
      <c r="Q4" s="269">
        <v>2052</v>
      </c>
      <c r="R4" s="269">
        <v>58</v>
      </c>
      <c r="S4" s="81">
        <v>5</v>
      </c>
      <c r="T4" s="81">
        <v>3</v>
      </c>
      <c r="U4" s="81">
        <v>15</v>
      </c>
      <c r="V4" s="81"/>
      <c r="W4" s="81">
        <v>2</v>
      </c>
      <c r="X4" s="81"/>
      <c r="Y4" s="270"/>
      <c r="Z4" s="270"/>
      <c r="AA4" s="270"/>
      <c r="AB4" s="270"/>
      <c r="AC4" s="270"/>
      <c r="AD4" s="270"/>
      <c r="AE4" s="270"/>
      <c r="AF4" s="270">
        <v>55</v>
      </c>
      <c r="AG4" s="270">
        <v>29</v>
      </c>
      <c r="AH4" s="270">
        <v>10</v>
      </c>
      <c r="AI4" s="270">
        <v>5</v>
      </c>
      <c r="AJ4" s="270">
        <v>1</v>
      </c>
      <c r="AK4" s="270">
        <v>1</v>
      </c>
      <c r="AL4" s="270"/>
      <c r="AM4" s="270">
        <v>98</v>
      </c>
      <c r="AN4" s="270">
        <v>61</v>
      </c>
      <c r="AO4" s="270">
        <v>21</v>
      </c>
      <c r="AP4" s="270">
        <v>6</v>
      </c>
      <c r="AQ4" s="270">
        <v>1</v>
      </c>
      <c r="AR4" s="270"/>
      <c r="AS4" s="270"/>
      <c r="AT4" s="281">
        <v>65</v>
      </c>
      <c r="AU4" s="6">
        <v>104.02</v>
      </c>
      <c r="AV4" s="283">
        <v>2.84</v>
      </c>
      <c r="AW4" s="274">
        <v>1.53</v>
      </c>
      <c r="AX4" s="281">
        <v>60.2</v>
      </c>
      <c r="AY4" s="280">
        <v>26</v>
      </c>
    </row>
    <row r="5" spans="1:51" x14ac:dyDescent="0.3">
      <c r="A5" s="268">
        <v>45748</v>
      </c>
      <c r="B5" s="238">
        <v>71.321534883720929</v>
      </c>
      <c r="C5" s="218">
        <v>170.37209302325581</v>
      </c>
      <c r="D5" s="235">
        <v>2.3887889303142726</v>
      </c>
      <c r="E5" s="223">
        <v>2.913044300524386</v>
      </c>
      <c r="F5" s="222">
        <v>3.1124687217338054</v>
      </c>
      <c r="G5" s="81">
        <v>29</v>
      </c>
      <c r="H5" s="81">
        <v>215</v>
      </c>
      <c r="I5" s="218">
        <v>7.4137931034482758</v>
      </c>
      <c r="J5" s="216">
        <v>52.409806732142236</v>
      </c>
      <c r="K5" s="286">
        <v>0.93592725291763579</v>
      </c>
      <c r="L5" s="287">
        <v>0.82003178938413657</v>
      </c>
      <c r="M5" s="230">
        <v>13.734883720930233</v>
      </c>
      <c r="N5" s="230">
        <v>10.786046511627907</v>
      </c>
      <c r="O5" s="269">
        <v>576.80901162790701</v>
      </c>
      <c r="P5" s="230">
        <v>8.0874452936032242</v>
      </c>
      <c r="Q5" s="269">
        <v>203</v>
      </c>
      <c r="R5" s="269">
        <v>508</v>
      </c>
      <c r="S5" s="81">
        <v>43</v>
      </c>
      <c r="T5" s="81">
        <v>34</v>
      </c>
      <c r="U5" s="81">
        <v>27</v>
      </c>
      <c r="V5" s="81">
        <v>3</v>
      </c>
      <c r="W5" s="81">
        <v>22</v>
      </c>
      <c r="X5" s="81">
        <v>13</v>
      </c>
      <c r="Y5" s="270">
        <v>28</v>
      </c>
      <c r="Z5" s="270">
        <v>23</v>
      </c>
      <c r="AA5" s="270">
        <v>17</v>
      </c>
      <c r="AB5" s="270">
        <v>10</v>
      </c>
      <c r="AC5" s="270">
        <v>8</v>
      </c>
      <c r="AD5" s="270">
        <v>5</v>
      </c>
      <c r="AE5" s="270">
        <v>3</v>
      </c>
      <c r="AF5" s="270">
        <v>147</v>
      </c>
      <c r="AG5" s="270">
        <v>108</v>
      </c>
      <c r="AH5" s="270">
        <v>72</v>
      </c>
      <c r="AI5" s="270">
        <v>33</v>
      </c>
      <c r="AJ5" s="270">
        <v>6</v>
      </c>
      <c r="AK5" s="270">
        <v>2</v>
      </c>
      <c r="AL5" s="270"/>
      <c r="AM5" s="270">
        <v>204</v>
      </c>
      <c r="AN5" s="270">
        <v>175</v>
      </c>
      <c r="AO5" s="270">
        <v>114</v>
      </c>
      <c r="AP5" s="270">
        <v>62</v>
      </c>
      <c r="AQ5" s="270">
        <v>14</v>
      </c>
      <c r="AR5" s="270">
        <v>2</v>
      </c>
      <c r="AS5" s="270"/>
      <c r="AT5" s="5">
        <v>57.69</v>
      </c>
      <c r="AU5" s="6">
        <v>90.35</v>
      </c>
      <c r="AV5" s="283">
        <v>2.85</v>
      </c>
      <c r="AW5" s="274">
        <v>1.8</v>
      </c>
      <c r="AX5" s="285">
        <v>65.8</v>
      </c>
      <c r="AY5" s="280">
        <v>36.700000000000003</v>
      </c>
    </row>
    <row r="6" spans="1:51" x14ac:dyDescent="0.3">
      <c r="A6" s="268">
        <v>45778</v>
      </c>
      <c r="B6" s="237">
        <v>69.101349206349212</v>
      </c>
      <c r="C6" s="218">
        <v>172.6904761904762</v>
      </c>
      <c r="D6" s="235">
        <v>2.499089788750593</v>
      </c>
      <c r="E6" s="222">
        <v>3.042115503223354</v>
      </c>
      <c r="F6" s="222">
        <v>3.2392035163441784</v>
      </c>
      <c r="G6" s="81">
        <v>22</v>
      </c>
      <c r="H6" s="81">
        <v>126</v>
      </c>
      <c r="I6" s="218">
        <v>5.7272727272727275</v>
      </c>
      <c r="J6" s="216">
        <v>56.057089845720341</v>
      </c>
      <c r="K6" s="286">
        <v>0.93915540899904271</v>
      </c>
      <c r="L6" s="287">
        <v>0.82149733831691019</v>
      </c>
      <c r="M6" s="230">
        <v>13.841269841269842</v>
      </c>
      <c r="N6" s="230">
        <v>10.507936507936508</v>
      </c>
      <c r="O6" s="269">
        <v>597.45436507936506</v>
      </c>
      <c r="P6" s="230">
        <v>8.6460593308425508</v>
      </c>
      <c r="Q6" s="269">
        <v>79</v>
      </c>
      <c r="R6" s="269">
        <v>565</v>
      </c>
      <c r="S6" s="81">
        <v>35</v>
      </c>
      <c r="T6" s="81">
        <v>23</v>
      </c>
      <c r="U6" s="81">
        <v>14</v>
      </c>
      <c r="V6" s="81">
        <v>12</v>
      </c>
      <c r="W6" s="81">
        <v>29</v>
      </c>
      <c r="X6" s="81">
        <v>16</v>
      </c>
      <c r="Y6" s="270">
        <v>28</v>
      </c>
      <c r="Z6" s="270">
        <v>20</v>
      </c>
      <c r="AA6" s="270">
        <v>14</v>
      </c>
      <c r="AB6" s="270">
        <v>8</v>
      </c>
      <c r="AC6" s="270">
        <v>3</v>
      </c>
      <c r="AD6" s="270">
        <v>3</v>
      </c>
      <c r="AE6" s="270">
        <v>2</v>
      </c>
      <c r="AF6" s="270">
        <v>105</v>
      </c>
      <c r="AG6" s="270">
        <v>84</v>
      </c>
      <c r="AH6" s="270">
        <v>70</v>
      </c>
      <c r="AI6" s="270">
        <v>44</v>
      </c>
      <c r="AJ6" s="270">
        <v>19</v>
      </c>
      <c r="AK6" s="270">
        <v>7</v>
      </c>
      <c r="AL6" s="270">
        <v>3</v>
      </c>
      <c r="AM6" s="270">
        <v>124</v>
      </c>
      <c r="AN6" s="270">
        <v>118</v>
      </c>
      <c r="AO6" s="270">
        <v>101</v>
      </c>
      <c r="AP6" s="270">
        <v>66</v>
      </c>
      <c r="AQ6" s="270">
        <v>24</v>
      </c>
      <c r="AR6" s="270">
        <v>11</v>
      </c>
      <c r="AS6" s="270">
        <v>4</v>
      </c>
      <c r="AT6" s="4">
        <v>54.74</v>
      </c>
      <c r="AU6" s="275">
        <v>82.07</v>
      </c>
      <c r="AV6" s="283">
        <v>2.98</v>
      </c>
      <c r="AW6" s="277">
        <v>2</v>
      </c>
      <c r="AX6" s="283">
        <v>72.099999999999994</v>
      </c>
      <c r="AY6" s="274">
        <v>41.8</v>
      </c>
    </row>
    <row r="7" spans="1:51" x14ac:dyDescent="0.3">
      <c r="A7" s="268">
        <v>45809</v>
      </c>
      <c r="B7" s="239">
        <v>67.32416666666667</v>
      </c>
      <c r="C7" s="218">
        <v>172.16666666666666</v>
      </c>
      <c r="D7" s="236">
        <v>2.5572788374654967</v>
      </c>
      <c r="E7" s="222">
        <v>3.13656562155739</v>
      </c>
      <c r="F7" s="226">
        <v>3.353179269455</v>
      </c>
      <c r="G7" s="81">
        <v>2</v>
      </c>
      <c r="H7" s="81">
        <v>12</v>
      </c>
      <c r="I7" s="218">
        <v>6</v>
      </c>
      <c r="J7" s="219">
        <v>58.418130039207057</v>
      </c>
      <c r="K7" s="286">
        <v>0.93540051679586556</v>
      </c>
      <c r="L7" s="287">
        <v>0.81531176006314132</v>
      </c>
      <c r="M7" s="230">
        <v>13.833333333333334</v>
      </c>
      <c r="N7" s="230">
        <v>11.833333333333334</v>
      </c>
      <c r="O7" s="269">
        <v>594.41145833333337</v>
      </c>
      <c r="P7" s="230">
        <v>8.8290949262894696</v>
      </c>
      <c r="Q7" s="269">
        <v>43</v>
      </c>
      <c r="R7" s="269">
        <v>72</v>
      </c>
      <c r="S7" s="81">
        <v>3</v>
      </c>
      <c r="T7" s="81">
        <v>4</v>
      </c>
      <c r="U7" s="81">
        <v>1</v>
      </c>
      <c r="V7" s="81"/>
      <c r="W7" s="81">
        <v>6</v>
      </c>
      <c r="X7" s="81">
        <v>4</v>
      </c>
      <c r="Y7" s="270">
        <v>5</v>
      </c>
      <c r="Z7" s="270">
        <v>2</v>
      </c>
      <c r="AA7" s="270">
        <v>2</v>
      </c>
      <c r="AB7" s="270">
        <v>2</v>
      </c>
      <c r="AC7" s="270">
        <v>1</v>
      </c>
      <c r="AD7" s="270">
        <v>1</v>
      </c>
      <c r="AE7" s="270"/>
      <c r="AF7" s="270">
        <v>12</v>
      </c>
      <c r="AG7" s="270">
        <v>10</v>
      </c>
      <c r="AH7" s="270">
        <v>8</v>
      </c>
      <c r="AI7" s="270">
        <v>7</v>
      </c>
      <c r="AJ7" s="270">
        <v>1</v>
      </c>
      <c r="AK7" s="270"/>
      <c r="AL7" s="270"/>
      <c r="AM7" s="270">
        <v>12</v>
      </c>
      <c r="AN7" s="270">
        <v>12</v>
      </c>
      <c r="AO7" s="270">
        <v>11</v>
      </c>
      <c r="AP7" s="270">
        <v>7</v>
      </c>
      <c r="AQ7" s="270">
        <v>5</v>
      </c>
      <c r="AR7" s="270">
        <v>2</v>
      </c>
      <c r="AS7" s="270"/>
      <c r="AT7" s="5">
        <v>59.51</v>
      </c>
      <c r="AU7" s="280">
        <v>76.7</v>
      </c>
      <c r="AV7" s="285">
        <v>2.71</v>
      </c>
      <c r="AW7" s="281">
        <v>2.3199999999999998</v>
      </c>
      <c r="AX7" s="285">
        <v>66.099999999999994</v>
      </c>
      <c r="AY7" s="277">
        <v>51.3</v>
      </c>
    </row>
    <row r="8" spans="1:51" x14ac:dyDescent="0.3">
      <c r="A8" s="268"/>
      <c r="B8" s="230"/>
      <c r="C8" s="218"/>
      <c r="D8" s="226"/>
      <c r="E8" s="226"/>
      <c r="F8" s="226"/>
      <c r="G8" s="81"/>
      <c r="H8" s="81"/>
      <c r="I8" s="218"/>
      <c r="J8" s="218"/>
      <c r="K8" s="226"/>
      <c r="L8" s="226"/>
      <c r="M8" s="230"/>
      <c r="N8" s="230"/>
      <c r="O8" s="269"/>
      <c r="P8" s="230"/>
      <c r="Q8" s="269"/>
      <c r="R8" s="269"/>
      <c r="S8" s="81"/>
      <c r="T8" s="81"/>
      <c r="U8" s="81"/>
      <c r="V8" s="81"/>
      <c r="W8" s="81"/>
      <c r="X8" s="81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</row>
    <row r="9" spans="1:51" x14ac:dyDescent="0.3">
      <c r="A9" s="268"/>
      <c r="B9" s="230"/>
      <c r="C9" s="218"/>
      <c r="D9" s="226"/>
      <c r="E9" s="226"/>
      <c r="F9" s="226"/>
      <c r="G9" s="81"/>
      <c r="H9" s="81"/>
      <c r="I9" s="218"/>
      <c r="J9" s="218"/>
      <c r="K9" s="226"/>
      <c r="L9" s="226"/>
      <c r="M9" s="230"/>
      <c r="N9" s="230"/>
      <c r="O9" s="269"/>
      <c r="P9" s="230"/>
      <c r="Q9" s="269"/>
      <c r="R9" s="269"/>
      <c r="S9" s="81"/>
      <c r="T9" s="81"/>
      <c r="U9" s="81"/>
      <c r="V9" s="81"/>
      <c r="W9" s="81"/>
      <c r="X9" s="81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</row>
    <row r="10" spans="1:51" x14ac:dyDescent="0.3">
      <c r="A10" s="268"/>
      <c r="B10" s="230"/>
      <c r="C10" s="218"/>
      <c r="D10" s="226"/>
      <c r="E10" s="226"/>
      <c r="F10" s="226"/>
      <c r="G10" s="81"/>
      <c r="H10" s="81"/>
      <c r="I10" s="218"/>
      <c r="J10" s="218"/>
      <c r="K10" s="226"/>
      <c r="L10" s="226"/>
      <c r="M10" s="230"/>
      <c r="N10" s="230"/>
      <c r="O10" s="269"/>
      <c r="P10" s="230"/>
      <c r="Q10" s="269"/>
      <c r="R10" s="269"/>
      <c r="S10" s="81"/>
      <c r="T10" s="81"/>
      <c r="U10" s="81"/>
      <c r="V10" s="81"/>
      <c r="W10" s="81"/>
      <c r="X10" s="81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</row>
    <row r="11" spans="1:51" x14ac:dyDescent="0.3">
      <c r="A11" s="268"/>
      <c r="B11" s="230"/>
      <c r="C11" s="218"/>
      <c r="D11" s="226"/>
      <c r="E11" s="226"/>
      <c r="F11" s="226"/>
      <c r="G11" s="81"/>
      <c r="H11" s="81"/>
      <c r="I11" s="218"/>
      <c r="J11" s="218"/>
      <c r="K11" s="226"/>
      <c r="L11" s="226"/>
      <c r="M11" s="230"/>
      <c r="N11" s="230"/>
      <c r="O11" s="269"/>
      <c r="P11" s="230"/>
      <c r="Q11" s="269"/>
      <c r="R11" s="269"/>
      <c r="S11" s="81"/>
      <c r="T11" s="81"/>
      <c r="U11" s="81"/>
      <c r="V11" s="81"/>
      <c r="W11" s="81"/>
      <c r="X11" s="81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</row>
    <row r="12" spans="1:51" x14ac:dyDescent="0.3">
      <c r="A12" s="268"/>
      <c r="B12" s="230"/>
      <c r="C12" s="218"/>
      <c r="D12" s="226"/>
      <c r="E12" s="226"/>
      <c r="F12" s="226"/>
      <c r="G12" s="81"/>
      <c r="H12" s="81"/>
      <c r="I12" s="218"/>
      <c r="J12" s="218"/>
      <c r="K12" s="226"/>
      <c r="L12" s="226"/>
      <c r="M12" s="230"/>
      <c r="N12" s="230"/>
      <c r="O12" s="269"/>
      <c r="P12" s="230"/>
      <c r="Q12" s="269"/>
      <c r="R12" s="269"/>
      <c r="S12" s="81"/>
      <c r="T12" s="81"/>
      <c r="U12" s="81"/>
      <c r="V12" s="81"/>
      <c r="W12" s="81"/>
      <c r="X12" s="81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</row>
    <row r="13" spans="1:51" x14ac:dyDescent="0.3">
      <c r="A13" s="268"/>
      <c r="B13" s="230"/>
      <c r="C13" s="218"/>
      <c r="D13" s="226"/>
      <c r="E13" s="226"/>
      <c r="F13" s="226"/>
      <c r="G13" s="81"/>
      <c r="H13" s="81"/>
      <c r="I13" s="218"/>
      <c r="J13" s="218"/>
      <c r="K13" s="226"/>
      <c r="L13" s="226"/>
      <c r="M13" s="230"/>
      <c r="N13" s="230"/>
      <c r="O13" s="269"/>
      <c r="P13" s="230"/>
      <c r="Q13" s="269"/>
      <c r="R13" s="269"/>
      <c r="S13" s="81"/>
      <c r="T13" s="81"/>
      <c r="U13" s="81"/>
      <c r="V13" s="81"/>
      <c r="W13" s="81"/>
      <c r="X13" s="81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</row>
  </sheetData>
  <phoneticPr fontId="1" type="noConversion"/>
  <conditionalFormatting sqref="S1:X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{9AE59BF7-8F87-498B-A30D-31127B5D02A3}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E59BF7-8F87-498B-A30D-31127B5D02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31BF3-5C0F-44E2-AEA7-03E938EA4E47}">
  <sheetPr codeName="Sheet20">
    <tabColor rgb="FF0070C0"/>
  </sheetPr>
  <dimension ref="A1:AS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31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4.07421875" style="12" bestFit="1" customWidth="1"/>
    <col min="8" max="8" width="5.84375" style="12" bestFit="1" customWidth="1"/>
    <col min="9" max="10" width="4.921875" style="32" bestFit="1" customWidth="1"/>
    <col min="11" max="12" width="5.84375" style="30" bestFit="1" customWidth="1"/>
    <col min="13" max="13" width="5.84375" style="28" bestFit="1" customWidth="1"/>
    <col min="14" max="14" width="4.921875" style="32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6" width="3.84375" style="6" bestFit="1" customWidth="1"/>
    <col min="27" max="27" width="3.3828125" style="6" bestFit="1" customWidth="1"/>
    <col min="28" max="28" width="2.921875" style="6" bestFit="1" customWidth="1"/>
    <col min="29" max="31" width="3.3828125" style="6" bestFit="1" customWidth="1"/>
    <col min="32" max="36" width="3.84375" style="6" bestFit="1" customWidth="1"/>
    <col min="37" max="38" width="3.3828125" style="6" bestFit="1" customWidth="1"/>
    <col min="39" max="42" width="4.765625" style="6" bestFit="1" customWidth="1"/>
    <col min="43" max="43" width="3.84375" style="6" bestFit="1" customWidth="1"/>
    <col min="44" max="45" width="2.921875" style="6" bestFit="1" customWidth="1"/>
    <col min="46" max="16384" width="9" style="6"/>
  </cols>
  <sheetData>
    <row r="1" spans="1:45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238</v>
      </c>
      <c r="H1" s="18" t="s">
        <v>72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2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770</v>
      </c>
      <c r="Z1" s="267" t="s">
        <v>771</v>
      </c>
      <c r="AA1" s="267" t="s">
        <v>772</v>
      </c>
      <c r="AB1" s="267" t="s">
        <v>773</v>
      </c>
      <c r="AC1" s="267" t="s">
        <v>774</v>
      </c>
      <c r="AD1" s="267" t="s">
        <v>775</v>
      </c>
      <c r="AE1" s="267" t="s">
        <v>776</v>
      </c>
      <c r="AF1" s="267" t="s">
        <v>777</v>
      </c>
      <c r="AG1" s="267" t="s">
        <v>778</v>
      </c>
      <c r="AH1" s="267" t="s">
        <v>779</v>
      </c>
      <c r="AI1" s="267" t="s">
        <v>776</v>
      </c>
      <c r="AJ1" s="267" t="s">
        <v>775</v>
      </c>
      <c r="AK1" s="267" t="s">
        <v>774</v>
      </c>
      <c r="AL1" s="267" t="s">
        <v>773</v>
      </c>
      <c r="AM1" s="267" t="s">
        <v>780</v>
      </c>
      <c r="AN1" s="267" t="s">
        <v>781</v>
      </c>
      <c r="AO1" s="267" t="s">
        <v>782</v>
      </c>
      <c r="AP1" s="267" t="s">
        <v>783</v>
      </c>
      <c r="AQ1" s="267" t="s">
        <v>784</v>
      </c>
      <c r="AR1" s="267" t="s">
        <v>785</v>
      </c>
      <c r="AS1" s="267" t="s">
        <v>786</v>
      </c>
    </row>
    <row r="2" spans="1:45" x14ac:dyDescent="0.3">
      <c r="A2" s="31">
        <v>45658</v>
      </c>
      <c r="B2" s="28">
        <v>6.5085861650485439</v>
      </c>
      <c r="C2" s="32">
        <v>16.478155339805824</v>
      </c>
      <c r="D2" s="236">
        <v>2.5317565016338572</v>
      </c>
      <c r="E2" s="226">
        <v>3.2851489117716981</v>
      </c>
      <c r="F2" s="228">
        <v>3.7512993944705229</v>
      </c>
      <c r="G2" s="12">
        <v>105</v>
      </c>
      <c r="H2" s="12">
        <v>1648</v>
      </c>
      <c r="I2" s="32">
        <v>15.695238095238095</v>
      </c>
      <c r="J2" s="271">
        <v>24.563133782402826</v>
      </c>
      <c r="K2" s="278">
        <v>0.87573626264383531</v>
      </c>
      <c r="L2" s="232">
        <v>0.77066719641286141</v>
      </c>
      <c r="M2" s="28">
        <v>2.7257281553398056</v>
      </c>
      <c r="N2" s="32">
        <v>3.0072815533980584</v>
      </c>
      <c r="O2" s="27">
        <v>51.629399271844662</v>
      </c>
      <c r="P2" s="28">
        <v>7.9325060716100371</v>
      </c>
      <c r="Q2" s="26">
        <v>549</v>
      </c>
      <c r="R2" s="27">
        <v>855</v>
      </c>
      <c r="S2" s="12">
        <v>34</v>
      </c>
      <c r="T2" s="12">
        <v>31</v>
      </c>
      <c r="U2" s="12">
        <v>29</v>
      </c>
      <c r="V2" s="12">
        <v>15</v>
      </c>
      <c r="W2" s="12">
        <v>60</v>
      </c>
      <c r="X2" s="12">
        <v>33</v>
      </c>
      <c r="Y2" s="6">
        <v>164</v>
      </c>
      <c r="Z2" s="6">
        <v>123</v>
      </c>
      <c r="AA2" s="6">
        <v>90</v>
      </c>
      <c r="AB2" s="6">
        <v>48</v>
      </c>
      <c r="AC2" s="6">
        <v>32</v>
      </c>
      <c r="AD2" s="6">
        <v>15</v>
      </c>
      <c r="AE2" s="6">
        <v>5</v>
      </c>
      <c r="AF2" s="6">
        <v>611</v>
      </c>
      <c r="AG2" s="6">
        <v>397</v>
      </c>
      <c r="AH2" s="6">
        <v>216</v>
      </c>
      <c r="AI2" s="6">
        <v>111</v>
      </c>
      <c r="AJ2" s="6">
        <v>60</v>
      </c>
      <c r="AK2" s="6">
        <v>21</v>
      </c>
      <c r="AL2" s="6">
        <v>6</v>
      </c>
      <c r="AM2" s="6">
        <v>1524</v>
      </c>
      <c r="AN2" s="6">
        <v>1524</v>
      </c>
      <c r="AO2" s="6">
        <v>1520</v>
      </c>
      <c r="AP2" s="6">
        <v>1331</v>
      </c>
      <c r="AQ2" s="6">
        <v>452</v>
      </c>
      <c r="AR2" s="6">
        <v>86</v>
      </c>
      <c r="AS2" s="6">
        <v>9</v>
      </c>
    </row>
    <row r="3" spans="1:45" x14ac:dyDescent="0.3">
      <c r="Y3" s="267" t="s">
        <v>787</v>
      </c>
      <c r="Z3" s="267" t="s">
        <v>788</v>
      </c>
      <c r="AA3" s="267" t="s">
        <v>789</v>
      </c>
      <c r="AB3" s="267" t="s">
        <v>783</v>
      </c>
      <c r="AC3" s="267" t="s">
        <v>790</v>
      </c>
      <c r="AD3" s="267" t="s">
        <v>791</v>
      </c>
      <c r="AE3" s="267" t="s">
        <v>792</v>
      </c>
      <c r="AF3" s="267" t="s">
        <v>793</v>
      </c>
      <c r="AG3" s="267" t="s">
        <v>794</v>
      </c>
      <c r="AH3" s="267" t="s">
        <v>795</v>
      </c>
      <c r="AI3" s="267" t="s">
        <v>796</v>
      </c>
      <c r="AJ3" s="267" t="s">
        <v>777</v>
      </c>
      <c r="AK3" s="267" t="s">
        <v>778</v>
      </c>
      <c r="AL3" s="267" t="s">
        <v>779</v>
      </c>
      <c r="AM3" s="267" t="s">
        <v>784</v>
      </c>
      <c r="AN3" s="267" t="s">
        <v>797</v>
      </c>
      <c r="AO3" s="267" t="s">
        <v>798</v>
      </c>
      <c r="AP3" s="267" t="s">
        <v>799</v>
      </c>
      <c r="AQ3" s="267" t="s">
        <v>800</v>
      </c>
      <c r="AR3" s="267" t="s">
        <v>801</v>
      </c>
      <c r="AS3" s="267" t="s">
        <v>802</v>
      </c>
    </row>
    <row r="4" spans="1:45" x14ac:dyDescent="0.3">
      <c r="A4" s="31">
        <v>45658</v>
      </c>
      <c r="B4" s="28">
        <v>25.034965870307168</v>
      </c>
      <c r="C4" s="32">
        <v>64.616040955631405</v>
      </c>
      <c r="D4" s="236">
        <v>2.5810317174136652</v>
      </c>
      <c r="E4" s="226">
        <v>3.2901423197180191</v>
      </c>
      <c r="F4" s="229">
        <v>3.6253731129635072</v>
      </c>
      <c r="G4" s="12">
        <v>105</v>
      </c>
      <c r="H4" s="12">
        <v>586</v>
      </c>
      <c r="I4" s="32">
        <v>5.5809523809523807</v>
      </c>
      <c r="J4" s="217">
        <v>43.885944893984529</v>
      </c>
      <c r="K4" s="278">
        <v>0.90753205730831421</v>
      </c>
      <c r="L4" s="232">
        <v>0.7844741857959725</v>
      </c>
      <c r="M4" s="28">
        <v>7.2457337883959045</v>
      </c>
      <c r="N4" s="32">
        <v>8.0375426621160404</v>
      </c>
      <c r="O4" s="27">
        <v>209.63395904436859</v>
      </c>
      <c r="P4" s="28">
        <v>8.3736466880111031</v>
      </c>
      <c r="Q4" s="26">
        <v>195</v>
      </c>
      <c r="R4" s="27">
        <v>1046</v>
      </c>
      <c r="S4" s="12">
        <v>61</v>
      </c>
      <c r="T4" s="12">
        <v>51</v>
      </c>
      <c r="U4" s="12">
        <v>45</v>
      </c>
      <c r="V4" s="12">
        <v>15</v>
      </c>
      <c r="W4" s="12">
        <v>60</v>
      </c>
      <c r="X4" s="12">
        <v>33</v>
      </c>
      <c r="Y4" s="6">
        <v>188</v>
      </c>
      <c r="Z4" s="6">
        <v>124</v>
      </c>
      <c r="AA4" s="6">
        <v>75</v>
      </c>
      <c r="AB4" s="6">
        <v>43</v>
      </c>
      <c r="AC4" s="6">
        <v>24</v>
      </c>
      <c r="AD4" s="6">
        <v>11</v>
      </c>
      <c r="AE4" s="6">
        <v>6</v>
      </c>
      <c r="AF4" s="6">
        <v>571</v>
      </c>
      <c r="AG4" s="6">
        <v>524</v>
      </c>
      <c r="AH4" s="6">
        <v>416</v>
      </c>
      <c r="AI4" s="6">
        <v>302</v>
      </c>
      <c r="AJ4" s="6">
        <v>148</v>
      </c>
      <c r="AK4" s="6">
        <v>53</v>
      </c>
      <c r="AL4" s="6">
        <v>13</v>
      </c>
      <c r="AM4" s="6">
        <v>571</v>
      </c>
      <c r="AN4" s="6">
        <v>524</v>
      </c>
      <c r="AO4" s="6">
        <v>376</v>
      </c>
      <c r="AP4" s="6">
        <v>187</v>
      </c>
      <c r="AQ4" s="6">
        <v>55</v>
      </c>
      <c r="AR4" s="6">
        <v>17</v>
      </c>
      <c r="AS4" s="6">
        <v>4</v>
      </c>
    </row>
    <row r="5" spans="1:45" x14ac:dyDescent="0.3">
      <c r="Y5" s="267" t="s">
        <v>803</v>
      </c>
      <c r="Z5" s="267" t="s">
        <v>804</v>
      </c>
      <c r="AA5" s="267" t="s">
        <v>805</v>
      </c>
      <c r="AB5" s="267" t="s">
        <v>806</v>
      </c>
      <c r="AC5" s="267" t="s">
        <v>807</v>
      </c>
      <c r="AD5" s="267" t="s">
        <v>801</v>
      </c>
      <c r="AE5" s="267" t="s">
        <v>808</v>
      </c>
      <c r="AF5" s="267" t="s">
        <v>809</v>
      </c>
      <c r="AG5" s="267" t="s">
        <v>795</v>
      </c>
      <c r="AH5" s="267" t="s">
        <v>810</v>
      </c>
      <c r="AI5" s="267" t="s">
        <v>796</v>
      </c>
      <c r="AJ5" s="267" t="s">
        <v>811</v>
      </c>
      <c r="AK5" s="267" t="s">
        <v>777</v>
      </c>
      <c r="AL5" s="267" t="s">
        <v>812</v>
      </c>
      <c r="AM5" s="267" t="s">
        <v>813</v>
      </c>
      <c r="AN5" s="267" t="s">
        <v>799</v>
      </c>
      <c r="AO5" s="267" t="s">
        <v>814</v>
      </c>
      <c r="AP5" s="267" t="s">
        <v>815</v>
      </c>
      <c r="AQ5" s="267" t="s">
        <v>801</v>
      </c>
      <c r="AR5" s="267" t="s">
        <v>804</v>
      </c>
      <c r="AS5" s="267" t="s">
        <v>816</v>
      </c>
    </row>
    <row r="6" spans="1:45" x14ac:dyDescent="0.3">
      <c r="A6" s="31">
        <v>45658</v>
      </c>
      <c r="B6" s="28">
        <v>72.60466555183946</v>
      </c>
      <c r="C6" s="32">
        <v>171.54515050167225</v>
      </c>
      <c r="D6" s="235">
        <v>2.3627290229605098</v>
      </c>
      <c r="E6" s="223">
        <v>2.8788101780868076</v>
      </c>
      <c r="F6" s="222">
        <v>3.0809632685738659</v>
      </c>
      <c r="G6" s="12">
        <v>105</v>
      </c>
      <c r="H6" s="12">
        <v>598</v>
      </c>
      <c r="I6" s="32">
        <v>5.6952380952380954</v>
      </c>
      <c r="J6" s="216">
        <v>51.195053662069512</v>
      </c>
      <c r="K6" s="286">
        <v>0.93438640033490816</v>
      </c>
      <c r="L6" s="287">
        <v>0.82073109263867006</v>
      </c>
      <c r="M6" s="28">
        <v>13.82943143812709</v>
      </c>
      <c r="N6" s="32">
        <v>10.692307692307692</v>
      </c>
      <c r="O6" s="27">
        <v>579.73223244147152</v>
      </c>
      <c r="P6" s="28">
        <v>7.9847793256143422</v>
      </c>
      <c r="Q6" s="26">
        <v>199</v>
      </c>
      <c r="R6" s="27">
        <v>1280</v>
      </c>
      <c r="S6" s="12">
        <v>93</v>
      </c>
      <c r="T6" s="12">
        <v>77</v>
      </c>
      <c r="U6" s="12">
        <v>67</v>
      </c>
      <c r="V6" s="12">
        <v>15</v>
      </c>
      <c r="W6" s="12">
        <v>60</v>
      </c>
      <c r="X6" s="12">
        <v>33</v>
      </c>
      <c r="Y6" s="6">
        <v>64</v>
      </c>
      <c r="Z6" s="6">
        <v>46</v>
      </c>
      <c r="AA6" s="6">
        <v>33</v>
      </c>
      <c r="AB6" s="6">
        <v>20</v>
      </c>
      <c r="AC6" s="6">
        <v>12</v>
      </c>
      <c r="AD6" s="6">
        <v>9</v>
      </c>
      <c r="AE6" s="6">
        <v>5</v>
      </c>
      <c r="AF6" s="6">
        <v>375</v>
      </c>
      <c r="AG6" s="6">
        <v>264</v>
      </c>
      <c r="AH6" s="6">
        <v>180</v>
      </c>
      <c r="AI6" s="6">
        <v>95</v>
      </c>
      <c r="AJ6" s="6">
        <v>27</v>
      </c>
      <c r="AK6" s="6">
        <v>10</v>
      </c>
      <c r="AL6" s="6">
        <v>3</v>
      </c>
      <c r="AM6" s="6">
        <v>542</v>
      </c>
      <c r="AN6" s="6">
        <v>424</v>
      </c>
      <c r="AO6" s="6">
        <v>273</v>
      </c>
      <c r="AP6" s="6">
        <v>150</v>
      </c>
      <c r="AQ6" s="6">
        <v>45</v>
      </c>
      <c r="AR6" s="6">
        <v>15</v>
      </c>
      <c r="AS6" s="6">
        <v>4</v>
      </c>
    </row>
  </sheetData>
  <phoneticPr fontId="1" type="noConversion"/>
  <conditionalFormatting sqref="S1:X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{DC175A5B-3C08-4691-8239-4959E1E93AC1}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175A5B-3C08-4691-8239-4959E1E93A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18AF8-9562-4B5F-A95D-B3D98AA0C88F}">
  <sheetPr codeName="Sheet21">
    <tabColor theme="0"/>
  </sheetPr>
  <dimension ref="A1:AK430"/>
  <sheetViews>
    <sheetView workbookViewId="0">
      <pane xSplit="1" ySplit="1" topLeftCell="B53" activePane="bottomRight" state="frozen"/>
      <selection pane="topRight" activeCell="B1" sqref="B1"/>
      <selection pane="bottomLeft" activeCell="A2" sqref="A2"/>
      <selection pane="bottomRight"/>
    </sheetView>
  </sheetViews>
  <sheetFormatPr defaultColWidth="4.61328125" defaultRowHeight="12.9" x14ac:dyDescent="0.3"/>
  <cols>
    <col min="1" max="1" width="6.3046875" style="12" bestFit="1" customWidth="1"/>
    <col min="2" max="2" width="6.4609375" style="12" bestFit="1" customWidth="1"/>
    <col min="3" max="3" width="4.84375" style="12" bestFit="1" customWidth="1"/>
    <col min="4" max="5" width="5.69140625" style="12" bestFit="1" customWidth="1"/>
    <col min="6" max="10" width="4.765625" style="12" bestFit="1" customWidth="1"/>
    <col min="11" max="11" width="4.84375" style="12" bestFit="1" customWidth="1"/>
    <col min="12" max="12" width="6.15234375" style="12" bestFit="1" customWidth="1"/>
    <col min="13" max="13" width="5.69140625" style="12" bestFit="1" customWidth="1"/>
    <col min="14" max="18" width="4.765625" style="12" bestFit="1" customWidth="1"/>
    <col min="19" max="20" width="3.15234375" style="12" customWidth="1"/>
    <col min="21" max="21" width="3.84375" style="12" bestFit="1" customWidth="1"/>
    <col min="22" max="22" width="6.15234375" style="12" bestFit="1" customWidth="1"/>
    <col min="23" max="28" width="4.765625" style="12" bestFit="1" customWidth="1"/>
    <col min="29" max="29" width="3.15234375" style="12" customWidth="1"/>
    <col min="30" max="30" width="3.84375" style="12" bestFit="1" customWidth="1"/>
    <col min="31" max="32" width="5.69140625" style="12" bestFit="1" customWidth="1"/>
    <col min="33" max="37" width="4.765625" style="12" bestFit="1" customWidth="1"/>
    <col min="38" max="16384" width="4.61328125" style="6"/>
  </cols>
  <sheetData>
    <row r="1" spans="1:37" x14ac:dyDescent="0.3">
      <c r="A1" s="35" t="s">
        <v>124</v>
      </c>
      <c r="B1" s="47" t="s">
        <v>159</v>
      </c>
      <c r="D1" s="12" t="s">
        <v>156</v>
      </c>
      <c r="E1" s="304" t="s">
        <v>655</v>
      </c>
      <c r="F1" s="304" t="s">
        <v>657</v>
      </c>
      <c r="G1" s="304" t="s">
        <v>659</v>
      </c>
      <c r="H1" s="304" t="s">
        <v>661</v>
      </c>
      <c r="I1" s="304" t="s">
        <v>663</v>
      </c>
      <c r="J1" s="304" t="s">
        <v>665</v>
      </c>
      <c r="L1" s="12" t="s">
        <v>715</v>
      </c>
      <c r="M1" s="302" t="s">
        <v>655</v>
      </c>
      <c r="N1" s="302" t="s">
        <v>657</v>
      </c>
      <c r="O1" s="302" t="s">
        <v>659</v>
      </c>
      <c r="P1" s="302" t="s">
        <v>661</v>
      </c>
      <c r="Q1" s="302" t="s">
        <v>663</v>
      </c>
      <c r="R1" s="302" t="s">
        <v>665</v>
      </c>
      <c r="V1" s="12" t="s">
        <v>714</v>
      </c>
      <c r="W1" s="304" t="s">
        <v>655</v>
      </c>
      <c r="X1" s="304" t="s">
        <v>657</v>
      </c>
      <c r="Y1" s="304" t="s">
        <v>659</v>
      </c>
      <c r="Z1" s="304" t="s">
        <v>661</v>
      </c>
      <c r="AA1" s="304" t="s">
        <v>663</v>
      </c>
      <c r="AB1" s="304" t="s">
        <v>665</v>
      </c>
      <c r="AE1" s="12" t="s">
        <v>715</v>
      </c>
      <c r="AF1" s="302" t="s">
        <v>655</v>
      </c>
      <c r="AG1" s="302" t="s">
        <v>657</v>
      </c>
      <c r="AH1" s="302" t="s">
        <v>659</v>
      </c>
      <c r="AI1" s="302" t="s">
        <v>661</v>
      </c>
      <c r="AJ1" s="302" t="s">
        <v>663</v>
      </c>
      <c r="AK1" s="302" t="s">
        <v>665</v>
      </c>
    </row>
    <row r="2" spans="1:37" x14ac:dyDescent="0.3">
      <c r="A2" s="59" t="s">
        <v>274</v>
      </c>
      <c r="B2" s="50">
        <v>6.1418979555567577E-2</v>
      </c>
      <c r="C2" s="12" t="s">
        <v>708</v>
      </c>
      <c r="D2" s="12">
        <v>7.5200000000000005</v>
      </c>
      <c r="E2" s="12">
        <v>7.5200000000000005</v>
      </c>
      <c r="K2" s="12" t="s">
        <v>708</v>
      </c>
      <c r="L2" s="12">
        <v>6.38</v>
      </c>
      <c r="M2" s="82">
        <v>6.38</v>
      </c>
      <c r="U2" s="12">
        <v>2</v>
      </c>
      <c r="AD2" s="12">
        <v>2</v>
      </c>
    </row>
    <row r="3" spans="1:37" x14ac:dyDescent="0.3">
      <c r="A3" s="59" t="s">
        <v>265</v>
      </c>
      <c r="B3" s="50">
        <v>0.6270466409878247</v>
      </c>
      <c r="C3" s="12" t="s">
        <v>709</v>
      </c>
      <c r="D3" s="12">
        <v>64.990000000000009</v>
      </c>
      <c r="E3" s="12">
        <v>64.990000000000009</v>
      </c>
      <c r="K3" s="12" t="s">
        <v>709</v>
      </c>
      <c r="L3" s="12">
        <v>5.98</v>
      </c>
      <c r="M3" s="16">
        <v>5.98</v>
      </c>
      <c r="U3" s="12">
        <v>3</v>
      </c>
      <c r="V3" s="12">
        <v>1</v>
      </c>
      <c r="W3" s="12">
        <v>1</v>
      </c>
      <c r="AD3" s="12">
        <v>3</v>
      </c>
      <c r="AE3" s="12">
        <v>2.66</v>
      </c>
      <c r="AF3" s="78">
        <v>2.66</v>
      </c>
    </row>
    <row r="4" spans="1:37" x14ac:dyDescent="0.3">
      <c r="A4" s="59" t="s">
        <v>266</v>
      </c>
      <c r="B4" s="50">
        <v>0.28871927092274591</v>
      </c>
      <c r="C4" s="12" t="s">
        <v>710</v>
      </c>
      <c r="D4" s="12">
        <v>26.33</v>
      </c>
      <c r="E4" s="12">
        <v>26.33</v>
      </c>
      <c r="K4" s="12" t="s">
        <v>710</v>
      </c>
      <c r="L4" s="12">
        <v>7.7</v>
      </c>
      <c r="M4" s="85">
        <v>7.7</v>
      </c>
      <c r="U4" s="12">
        <v>4</v>
      </c>
      <c r="V4" s="12">
        <v>2</v>
      </c>
      <c r="W4" s="12">
        <v>2</v>
      </c>
      <c r="AD4" s="12">
        <v>4</v>
      </c>
      <c r="AE4" s="12">
        <v>2.87</v>
      </c>
      <c r="AF4" s="78">
        <v>2.87</v>
      </c>
    </row>
    <row r="5" spans="1:37" x14ac:dyDescent="0.3">
      <c r="A5" s="59" t="s">
        <v>267</v>
      </c>
      <c r="B5" s="50">
        <v>2.2810017468745503E-2</v>
      </c>
      <c r="C5" s="12" t="s">
        <v>711</v>
      </c>
      <c r="D5" s="12">
        <v>1.1499999999999999</v>
      </c>
      <c r="E5" s="12">
        <v>1.1499999999999999</v>
      </c>
      <c r="K5" s="12" t="s">
        <v>711</v>
      </c>
      <c r="L5" s="12">
        <v>9.5399999999999991</v>
      </c>
      <c r="M5" s="87">
        <v>9.5399999999999991</v>
      </c>
      <c r="U5" s="12">
        <v>5</v>
      </c>
      <c r="V5" s="12">
        <v>10</v>
      </c>
      <c r="W5" s="12">
        <v>10</v>
      </c>
      <c r="AD5" s="12">
        <v>5</v>
      </c>
      <c r="AE5" s="12">
        <v>2.56</v>
      </c>
      <c r="AF5" s="78">
        <v>2.56</v>
      </c>
    </row>
    <row r="6" spans="1:37" x14ac:dyDescent="0.3">
      <c r="A6" s="60" t="s">
        <v>267</v>
      </c>
      <c r="B6" s="51">
        <v>8.0520922540000001E-3</v>
      </c>
      <c r="C6" s="147" t="s">
        <v>711</v>
      </c>
      <c r="D6" s="147">
        <v>0.51</v>
      </c>
      <c r="E6" s="79">
        <v>0.51</v>
      </c>
      <c r="F6" s="79"/>
      <c r="G6" s="79"/>
      <c r="H6" s="79"/>
      <c r="I6" s="79"/>
      <c r="J6" s="79"/>
      <c r="K6" s="12" t="s">
        <v>711</v>
      </c>
      <c r="L6" s="12">
        <v>18.02</v>
      </c>
      <c r="M6" s="82">
        <v>18.02</v>
      </c>
      <c r="U6" s="12">
        <v>6</v>
      </c>
      <c r="V6" s="12">
        <v>8</v>
      </c>
      <c r="W6" s="12">
        <v>8</v>
      </c>
      <c r="AD6" s="12">
        <v>6</v>
      </c>
      <c r="AE6" s="12">
        <v>3.48</v>
      </c>
      <c r="AF6" s="79">
        <v>3.48</v>
      </c>
    </row>
    <row r="7" spans="1:37" x14ac:dyDescent="0.3">
      <c r="A7" s="60" t="s">
        <v>259</v>
      </c>
      <c r="B7" s="51">
        <v>7.8566717989999993E-2</v>
      </c>
      <c r="C7" s="147" t="s">
        <v>712</v>
      </c>
      <c r="D7" s="147">
        <v>10.41</v>
      </c>
      <c r="E7" s="79">
        <v>10.41</v>
      </c>
      <c r="F7" s="79"/>
      <c r="G7" s="79"/>
      <c r="H7" s="79"/>
      <c r="I7" s="79"/>
      <c r="J7" s="79"/>
      <c r="K7" s="12" t="s">
        <v>712</v>
      </c>
      <c r="L7" s="12">
        <v>20.71</v>
      </c>
      <c r="M7" s="84">
        <v>20.71</v>
      </c>
      <c r="U7" s="12">
        <v>7</v>
      </c>
      <c r="V7" s="12">
        <v>27</v>
      </c>
      <c r="W7" s="12">
        <v>27</v>
      </c>
      <c r="AD7" s="12">
        <v>7</v>
      </c>
      <c r="AE7" s="12">
        <v>15.15</v>
      </c>
      <c r="AF7" s="12">
        <v>15.15</v>
      </c>
    </row>
    <row r="8" spans="1:37" x14ac:dyDescent="0.3">
      <c r="A8" s="60" t="s">
        <v>272</v>
      </c>
      <c r="B8" s="51">
        <v>0.24806178544499999</v>
      </c>
      <c r="C8" s="147" t="s">
        <v>272</v>
      </c>
      <c r="D8" s="147">
        <v>24.060000000000002</v>
      </c>
      <c r="E8" s="79">
        <v>24.060000000000002</v>
      </c>
      <c r="F8" s="79"/>
      <c r="G8" s="79"/>
      <c r="H8" s="79"/>
      <c r="I8" s="79"/>
      <c r="J8" s="79"/>
      <c r="K8" s="12" t="s">
        <v>272</v>
      </c>
      <c r="L8" s="12">
        <v>22.94</v>
      </c>
      <c r="M8" s="86">
        <v>22.94</v>
      </c>
      <c r="U8" s="12">
        <v>8</v>
      </c>
      <c r="V8" s="12">
        <v>39</v>
      </c>
      <c r="W8" s="12">
        <v>39</v>
      </c>
      <c r="AD8" s="12">
        <v>8</v>
      </c>
      <c r="AE8" s="12">
        <v>4.05</v>
      </c>
      <c r="AF8" s="80">
        <v>4.05</v>
      </c>
    </row>
    <row r="9" spans="1:37" x14ac:dyDescent="0.3">
      <c r="A9" s="60" t="s">
        <v>260</v>
      </c>
      <c r="B9" s="51">
        <v>0.33141692400599998</v>
      </c>
      <c r="C9" s="147" t="s">
        <v>260</v>
      </c>
      <c r="D9" s="147">
        <v>34.81</v>
      </c>
      <c r="E9" s="79">
        <v>34.81</v>
      </c>
      <c r="F9" s="79"/>
      <c r="G9" s="79"/>
      <c r="H9" s="79"/>
      <c r="I9" s="79"/>
      <c r="J9" s="79"/>
      <c r="K9" s="12" t="s">
        <v>260</v>
      </c>
      <c r="L9" s="12">
        <v>24.82</v>
      </c>
      <c r="M9" s="87">
        <v>24.82</v>
      </c>
      <c r="U9" s="12">
        <v>9</v>
      </c>
      <c r="V9" s="12">
        <v>37</v>
      </c>
      <c r="W9" s="12">
        <v>37</v>
      </c>
      <c r="AD9" s="12">
        <v>9</v>
      </c>
      <c r="AE9" s="12">
        <v>4.38</v>
      </c>
      <c r="AF9" s="80">
        <v>4.38</v>
      </c>
    </row>
    <row r="10" spans="1:37" x14ac:dyDescent="0.3">
      <c r="A10" s="60" t="s">
        <v>261</v>
      </c>
      <c r="B10" s="51">
        <v>0.22353154878600001</v>
      </c>
      <c r="C10" s="147" t="s">
        <v>261</v>
      </c>
      <c r="D10" s="147">
        <v>19.11</v>
      </c>
      <c r="E10" s="79">
        <v>19.11</v>
      </c>
      <c r="F10" s="79"/>
      <c r="G10" s="79"/>
      <c r="H10" s="79"/>
      <c r="I10" s="79"/>
      <c r="J10" s="79"/>
      <c r="K10" s="12" t="s">
        <v>261</v>
      </c>
      <c r="L10" s="12">
        <v>27.52</v>
      </c>
      <c r="M10" s="88">
        <v>27.52</v>
      </c>
      <c r="U10" s="12">
        <v>10</v>
      </c>
      <c r="V10" s="12">
        <v>67</v>
      </c>
      <c r="W10" s="12">
        <v>67</v>
      </c>
      <c r="AD10" s="12">
        <v>10</v>
      </c>
      <c r="AE10" s="12">
        <v>4.5599999999999996</v>
      </c>
      <c r="AF10" s="15">
        <v>4.5599999999999996</v>
      </c>
    </row>
    <row r="11" spans="1:37" x14ac:dyDescent="0.3">
      <c r="A11" s="60" t="s">
        <v>262</v>
      </c>
      <c r="B11" s="51">
        <v>8.5986538596999992E-2</v>
      </c>
      <c r="C11" s="147" t="s">
        <v>262</v>
      </c>
      <c r="D11" s="147">
        <v>7.85</v>
      </c>
      <c r="E11" s="79">
        <v>7.85</v>
      </c>
      <c r="F11" s="79"/>
      <c r="G11" s="79"/>
      <c r="H11" s="79"/>
      <c r="I11" s="79"/>
      <c r="J11" s="79"/>
      <c r="K11" s="12" t="s">
        <v>262</v>
      </c>
      <c r="L11" s="12">
        <v>29.82</v>
      </c>
      <c r="M11" s="168">
        <v>29.82</v>
      </c>
      <c r="U11" s="12">
        <v>11</v>
      </c>
      <c r="V11" s="12">
        <v>107</v>
      </c>
      <c r="W11" s="12">
        <v>107</v>
      </c>
      <c r="AD11" s="12">
        <v>11</v>
      </c>
      <c r="AE11" s="12">
        <v>5.55</v>
      </c>
      <c r="AF11" s="16">
        <v>5.55</v>
      </c>
    </row>
    <row r="12" spans="1:37" x14ac:dyDescent="0.3">
      <c r="A12" s="60" t="s">
        <v>263</v>
      </c>
      <c r="B12" s="51">
        <v>2.0569727529000003E-2</v>
      </c>
      <c r="C12" s="147" t="s">
        <v>263</v>
      </c>
      <c r="D12" s="147">
        <v>2.56</v>
      </c>
      <c r="E12" s="79">
        <v>2.56</v>
      </c>
      <c r="F12" s="79"/>
      <c r="G12" s="79"/>
      <c r="H12" s="79"/>
      <c r="I12" s="79"/>
      <c r="J12" s="79"/>
      <c r="K12" s="12" t="s">
        <v>263</v>
      </c>
      <c r="L12" s="12">
        <v>31.01</v>
      </c>
      <c r="M12" s="12">
        <v>31.01</v>
      </c>
      <c r="U12" s="12">
        <v>12</v>
      </c>
      <c r="V12" s="12">
        <v>106</v>
      </c>
      <c r="W12" s="12">
        <v>106</v>
      </c>
      <c r="AD12" s="12">
        <v>12</v>
      </c>
      <c r="AE12" s="12">
        <v>5.0999999999999996</v>
      </c>
      <c r="AF12" s="81">
        <v>5.0999999999999996</v>
      </c>
    </row>
    <row r="13" spans="1:37" x14ac:dyDescent="0.3">
      <c r="A13" s="60" t="s">
        <v>264</v>
      </c>
      <c r="B13" s="51">
        <v>3.6432964520000002E-3</v>
      </c>
      <c r="C13" s="147" t="s">
        <v>264</v>
      </c>
      <c r="D13" s="147">
        <v>0.67999999999999994</v>
      </c>
      <c r="E13" s="79">
        <v>0.67999999999999994</v>
      </c>
      <c r="F13" s="79"/>
      <c r="G13" s="79"/>
      <c r="H13" s="79"/>
      <c r="I13" s="79"/>
      <c r="J13" s="79"/>
      <c r="K13" s="12" t="s">
        <v>264</v>
      </c>
      <c r="L13" s="12">
        <v>34.49</v>
      </c>
      <c r="M13" s="12">
        <v>34.49</v>
      </c>
      <c r="U13" s="12">
        <v>13</v>
      </c>
      <c r="V13" s="12">
        <v>118</v>
      </c>
      <c r="W13" s="12">
        <v>118</v>
      </c>
      <c r="AD13" s="12">
        <v>13</v>
      </c>
      <c r="AE13" s="12">
        <v>5.45</v>
      </c>
      <c r="AF13" s="81">
        <v>5.45</v>
      </c>
    </row>
    <row r="14" spans="1:37" x14ac:dyDescent="0.3">
      <c r="A14" s="61" t="s">
        <v>273</v>
      </c>
      <c r="B14" s="52">
        <v>8.4533589190000005E-3</v>
      </c>
      <c r="C14" s="12" t="s">
        <v>264</v>
      </c>
      <c r="D14" s="12">
        <v>1</v>
      </c>
      <c r="E14" s="12">
        <v>1</v>
      </c>
      <c r="K14" s="12" t="s">
        <v>264</v>
      </c>
      <c r="L14" s="12">
        <v>61.85</v>
      </c>
      <c r="M14" s="82">
        <v>61.85</v>
      </c>
      <c r="U14" s="12">
        <v>14</v>
      </c>
      <c r="V14" s="12">
        <v>114</v>
      </c>
      <c r="W14" s="12">
        <v>114</v>
      </c>
      <c r="AD14" s="12">
        <v>14</v>
      </c>
      <c r="AE14" s="12">
        <v>5.72</v>
      </c>
      <c r="AF14" s="16">
        <v>5.72</v>
      </c>
    </row>
    <row r="15" spans="1:37" x14ac:dyDescent="0.3">
      <c r="A15" s="61" t="s">
        <v>268</v>
      </c>
      <c r="B15" s="52">
        <v>2.6629438405999999E-2</v>
      </c>
      <c r="C15" s="12" t="s">
        <v>305</v>
      </c>
      <c r="D15" s="12">
        <v>2.68</v>
      </c>
      <c r="E15" s="12">
        <v>2.68</v>
      </c>
      <c r="K15" s="12" t="s">
        <v>305</v>
      </c>
      <c r="L15" s="12">
        <v>65.23</v>
      </c>
      <c r="M15" s="84">
        <v>65.23</v>
      </c>
      <c r="U15" s="12">
        <v>15</v>
      </c>
      <c r="V15" s="12">
        <v>133</v>
      </c>
      <c r="W15" s="12">
        <v>133</v>
      </c>
      <c r="AD15" s="12">
        <v>15</v>
      </c>
      <c r="AE15" s="12">
        <v>6.71</v>
      </c>
      <c r="AF15" s="171">
        <v>6.71</v>
      </c>
    </row>
    <row r="16" spans="1:37" x14ac:dyDescent="0.3">
      <c r="A16" s="61" t="s">
        <v>269</v>
      </c>
      <c r="B16" s="52">
        <v>7.0097060775999989E-2</v>
      </c>
      <c r="C16" s="12" t="s">
        <v>306</v>
      </c>
      <c r="D16" s="12">
        <v>8.86</v>
      </c>
      <c r="E16" s="12">
        <v>8.86</v>
      </c>
      <c r="K16" s="12" t="s">
        <v>306</v>
      </c>
      <c r="L16" s="12">
        <v>67.03</v>
      </c>
      <c r="M16" s="84">
        <v>67.03</v>
      </c>
      <c r="U16" s="12">
        <v>16</v>
      </c>
      <c r="V16" s="12">
        <v>120</v>
      </c>
      <c r="W16" s="12">
        <v>120</v>
      </c>
      <c r="AD16" s="12">
        <v>16</v>
      </c>
      <c r="AE16" s="12">
        <v>6.31</v>
      </c>
      <c r="AF16" s="82">
        <v>6.31</v>
      </c>
    </row>
    <row r="17" spans="1:32" x14ac:dyDescent="0.3">
      <c r="A17" s="61" t="s">
        <v>270</v>
      </c>
      <c r="B17" s="52">
        <v>0.13319492362099999</v>
      </c>
      <c r="C17" s="12" t="s">
        <v>270</v>
      </c>
      <c r="D17" s="12">
        <v>16.39</v>
      </c>
      <c r="E17" s="12">
        <v>16.39</v>
      </c>
      <c r="K17" s="12" t="s">
        <v>270</v>
      </c>
      <c r="L17" s="12">
        <v>70.28</v>
      </c>
      <c r="M17" s="86">
        <v>70.28</v>
      </c>
      <c r="U17" s="12">
        <v>17</v>
      </c>
      <c r="V17" s="12">
        <v>113</v>
      </c>
      <c r="W17" s="12">
        <v>113</v>
      </c>
      <c r="AD17" s="12">
        <v>17</v>
      </c>
      <c r="AE17" s="12">
        <v>6.4</v>
      </c>
      <c r="AF17" s="82">
        <v>6.4</v>
      </c>
    </row>
    <row r="18" spans="1:32" x14ac:dyDescent="0.3">
      <c r="A18" s="61" t="s">
        <v>271</v>
      </c>
      <c r="B18" s="52">
        <v>0.18793569771599997</v>
      </c>
      <c r="C18" s="12" t="s">
        <v>271</v>
      </c>
      <c r="D18" s="12">
        <v>17.560000000000002</v>
      </c>
      <c r="E18" s="12">
        <v>17.560000000000002</v>
      </c>
      <c r="K18" s="12" t="s">
        <v>271</v>
      </c>
      <c r="L18" s="12">
        <v>71.239999999999995</v>
      </c>
      <c r="M18" s="86">
        <v>71.239999999999995</v>
      </c>
      <c r="U18" s="12">
        <v>18</v>
      </c>
      <c r="V18" s="12">
        <v>88</v>
      </c>
      <c r="W18" s="12">
        <v>88</v>
      </c>
      <c r="AD18" s="12">
        <v>18</v>
      </c>
      <c r="AE18" s="12">
        <v>6.55</v>
      </c>
      <c r="AF18" s="171">
        <v>6.55</v>
      </c>
    </row>
    <row r="19" spans="1:32" x14ac:dyDescent="0.3">
      <c r="A19" s="61" t="s">
        <v>253</v>
      </c>
      <c r="B19" s="52">
        <v>0.20163106555899996</v>
      </c>
      <c r="C19" s="12" t="s">
        <v>253</v>
      </c>
      <c r="D19" s="12">
        <v>21.57</v>
      </c>
      <c r="E19" s="12">
        <v>21.57</v>
      </c>
      <c r="K19" s="12" t="s">
        <v>253</v>
      </c>
      <c r="L19" s="12">
        <v>72.69</v>
      </c>
      <c r="M19" s="86">
        <v>72.69</v>
      </c>
      <c r="U19" s="12">
        <v>19</v>
      </c>
      <c r="V19" s="12">
        <v>105</v>
      </c>
      <c r="W19" s="12">
        <v>105</v>
      </c>
      <c r="AD19" s="12">
        <v>19</v>
      </c>
      <c r="AE19" s="12">
        <v>6.91</v>
      </c>
      <c r="AF19" s="171">
        <v>6.91</v>
      </c>
    </row>
    <row r="20" spans="1:32" x14ac:dyDescent="0.3">
      <c r="A20" s="61" t="s">
        <v>254</v>
      </c>
      <c r="B20" s="52">
        <v>0.16779560557600004</v>
      </c>
      <c r="C20" s="12" t="s">
        <v>254</v>
      </c>
      <c r="D20" s="12">
        <v>13.88</v>
      </c>
      <c r="E20" s="12">
        <v>13.88</v>
      </c>
      <c r="K20" s="12" t="s">
        <v>254</v>
      </c>
      <c r="L20" s="12">
        <v>74.849999999999994</v>
      </c>
      <c r="M20" s="86">
        <v>74.849999999999994</v>
      </c>
      <c r="U20" s="12">
        <v>20</v>
      </c>
      <c r="V20" s="12">
        <v>91</v>
      </c>
      <c r="W20" s="12">
        <v>91</v>
      </c>
      <c r="AD20" s="12">
        <v>20</v>
      </c>
      <c r="AE20" s="12">
        <v>7.13</v>
      </c>
      <c r="AF20" s="84">
        <v>7.13</v>
      </c>
    </row>
    <row r="21" spans="1:32" x14ac:dyDescent="0.3">
      <c r="A21" s="61" t="s">
        <v>255</v>
      </c>
      <c r="B21" s="52">
        <v>0.11014232450500001</v>
      </c>
      <c r="C21" s="12" t="s">
        <v>255</v>
      </c>
      <c r="D21" s="12">
        <v>10.029999999999999</v>
      </c>
      <c r="E21" s="12">
        <v>10.029999999999999</v>
      </c>
      <c r="K21" s="12" t="s">
        <v>255</v>
      </c>
      <c r="L21" s="12">
        <v>76.94</v>
      </c>
      <c r="M21" s="87">
        <v>76.94</v>
      </c>
      <c r="U21" s="12">
        <v>21</v>
      </c>
      <c r="V21" s="12">
        <v>82</v>
      </c>
      <c r="W21" s="12">
        <v>82</v>
      </c>
      <c r="AD21" s="12">
        <v>21</v>
      </c>
      <c r="AE21" s="12">
        <v>7.28</v>
      </c>
      <c r="AF21" s="84">
        <v>7.28</v>
      </c>
    </row>
    <row r="22" spans="1:32" x14ac:dyDescent="0.3">
      <c r="A22" s="61" t="s">
        <v>256</v>
      </c>
      <c r="B22" s="52">
        <v>5.7834229239999993E-2</v>
      </c>
      <c r="C22" s="12" t="s">
        <v>256</v>
      </c>
      <c r="D22" s="12">
        <v>5.52</v>
      </c>
      <c r="E22" s="12">
        <v>5.52</v>
      </c>
      <c r="K22" s="12" t="s">
        <v>256</v>
      </c>
      <c r="L22" s="12">
        <v>80.239999999999995</v>
      </c>
      <c r="M22" s="88">
        <v>80.239999999999995</v>
      </c>
      <c r="U22" s="12">
        <v>22</v>
      </c>
      <c r="V22" s="12">
        <v>59</v>
      </c>
      <c r="W22" s="12">
        <v>59</v>
      </c>
      <c r="AD22" s="12">
        <v>22</v>
      </c>
      <c r="AE22" s="12">
        <v>7.52</v>
      </c>
      <c r="AF22" s="85">
        <v>7.52</v>
      </c>
    </row>
    <row r="23" spans="1:32" x14ac:dyDescent="0.3">
      <c r="A23" s="61" t="s">
        <v>257</v>
      </c>
      <c r="B23" s="52">
        <v>2.4580025853999998E-2</v>
      </c>
      <c r="C23" s="12" t="s">
        <v>257</v>
      </c>
      <c r="D23" s="12">
        <v>1.51</v>
      </c>
      <c r="E23" s="12">
        <v>1.51</v>
      </c>
      <c r="K23" s="12" t="s">
        <v>257</v>
      </c>
      <c r="L23" s="12">
        <v>82.42</v>
      </c>
      <c r="M23" s="88">
        <v>82.42</v>
      </c>
      <c r="U23" s="12">
        <v>23</v>
      </c>
      <c r="V23" s="12">
        <v>43</v>
      </c>
      <c r="W23" s="12">
        <v>43</v>
      </c>
      <c r="AD23" s="12">
        <v>23</v>
      </c>
      <c r="AE23" s="12">
        <v>7.83</v>
      </c>
      <c r="AF23" s="85">
        <v>7.83</v>
      </c>
    </row>
    <row r="24" spans="1:32" x14ac:dyDescent="0.3">
      <c r="A24" s="61" t="s">
        <v>258</v>
      </c>
      <c r="B24" s="52">
        <v>1.1696266019999997E-2</v>
      </c>
      <c r="C24" s="12" t="s">
        <v>258</v>
      </c>
      <c r="D24" s="12">
        <v>1</v>
      </c>
      <c r="E24" s="12">
        <v>1</v>
      </c>
      <c r="K24" s="12" t="s">
        <v>258</v>
      </c>
      <c r="L24" s="12">
        <v>81.36</v>
      </c>
      <c r="M24" s="88">
        <v>81.36</v>
      </c>
      <c r="U24" s="12">
        <v>24</v>
      </c>
      <c r="V24" s="12">
        <v>42</v>
      </c>
      <c r="W24" s="12">
        <v>42</v>
      </c>
      <c r="AD24" s="12">
        <v>24</v>
      </c>
      <c r="AE24" s="12">
        <v>7.83</v>
      </c>
      <c r="AF24" s="85">
        <v>7.83</v>
      </c>
    </row>
    <row r="25" spans="1:32" x14ac:dyDescent="0.3">
      <c r="U25" s="12">
        <v>25</v>
      </c>
      <c r="V25" s="12">
        <v>44</v>
      </c>
      <c r="W25" s="12">
        <v>44</v>
      </c>
      <c r="AD25" s="12">
        <v>25</v>
      </c>
      <c r="AE25" s="12">
        <v>8.0299999999999994</v>
      </c>
      <c r="AF25" s="86">
        <v>8.0299999999999994</v>
      </c>
    </row>
    <row r="26" spans="1:32" x14ac:dyDescent="0.3">
      <c r="D26" s="12" t="s">
        <v>713</v>
      </c>
      <c r="E26" s="302" t="s">
        <v>655</v>
      </c>
      <c r="F26" s="302" t="s">
        <v>657</v>
      </c>
      <c r="G26" s="302" t="s">
        <v>659</v>
      </c>
      <c r="H26" s="302" t="s">
        <v>661</v>
      </c>
      <c r="I26" s="302" t="s">
        <v>663</v>
      </c>
      <c r="J26" s="302" t="s">
        <v>665</v>
      </c>
      <c r="L26" s="12" t="s">
        <v>714</v>
      </c>
      <c r="M26" s="304" t="s">
        <v>655</v>
      </c>
      <c r="N26" s="304" t="s">
        <v>657</v>
      </c>
      <c r="O26" s="304" t="s">
        <v>659</v>
      </c>
      <c r="P26" s="304" t="s">
        <v>661</v>
      </c>
      <c r="Q26" s="304" t="s">
        <v>663</v>
      </c>
      <c r="R26" s="304" t="s">
        <v>665</v>
      </c>
      <c r="U26" s="12">
        <v>26</v>
      </c>
      <c r="V26" s="12">
        <v>19</v>
      </c>
      <c r="W26" s="12">
        <v>19</v>
      </c>
      <c r="AD26" s="12">
        <v>26</v>
      </c>
      <c r="AE26" s="12">
        <v>8.36</v>
      </c>
      <c r="AF26" s="86">
        <v>8.36</v>
      </c>
    </row>
    <row r="27" spans="1:32" x14ac:dyDescent="0.3">
      <c r="C27" s="12" t="s">
        <v>708</v>
      </c>
      <c r="D27" s="12">
        <v>11.7</v>
      </c>
      <c r="E27" s="168">
        <v>11.7</v>
      </c>
      <c r="K27" s="12" t="s">
        <v>708</v>
      </c>
      <c r="L27" s="12">
        <v>124</v>
      </c>
      <c r="M27" s="12">
        <v>124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U27" s="12">
        <v>27</v>
      </c>
      <c r="V27" s="12">
        <v>20</v>
      </c>
      <c r="W27" s="12">
        <v>20</v>
      </c>
      <c r="AD27" s="12">
        <v>27</v>
      </c>
      <c r="AE27" s="12">
        <v>8.34</v>
      </c>
      <c r="AF27" s="86">
        <v>8.34</v>
      </c>
    </row>
    <row r="28" spans="1:32" x14ac:dyDescent="0.3">
      <c r="C28" s="12" t="s">
        <v>709</v>
      </c>
      <c r="D28" s="12">
        <v>25.1</v>
      </c>
      <c r="E28" s="87">
        <v>25.1</v>
      </c>
      <c r="K28" s="12" t="s">
        <v>709</v>
      </c>
      <c r="L28" s="12">
        <v>1071</v>
      </c>
      <c r="M28" s="12">
        <v>1071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U28" s="12">
        <v>28</v>
      </c>
      <c r="V28" s="12">
        <v>21</v>
      </c>
      <c r="W28" s="12">
        <v>21</v>
      </c>
      <c r="AD28" s="12">
        <v>28</v>
      </c>
      <c r="AE28" s="12">
        <v>9.0399999999999991</v>
      </c>
      <c r="AF28" s="87">
        <v>9.0399999999999991</v>
      </c>
    </row>
    <row r="29" spans="1:32" x14ac:dyDescent="0.3">
      <c r="C29" s="12" t="s">
        <v>710</v>
      </c>
      <c r="D29" s="12">
        <v>25.6</v>
      </c>
      <c r="E29" s="87">
        <v>25.6</v>
      </c>
      <c r="K29" s="12" t="s">
        <v>710</v>
      </c>
      <c r="L29" s="12">
        <v>434</v>
      </c>
      <c r="M29" s="12">
        <v>434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U29" s="12">
        <v>29</v>
      </c>
      <c r="V29" s="12">
        <v>13</v>
      </c>
      <c r="W29" s="12">
        <v>13</v>
      </c>
      <c r="AD29" s="12">
        <v>29</v>
      </c>
      <c r="AE29" s="12">
        <v>9.24</v>
      </c>
      <c r="AF29" s="87">
        <v>9.24</v>
      </c>
    </row>
    <row r="30" spans="1:32" x14ac:dyDescent="0.3">
      <c r="C30" s="12" t="s">
        <v>711</v>
      </c>
      <c r="D30" s="12">
        <v>25.1</v>
      </c>
      <c r="E30" s="87">
        <v>25.1</v>
      </c>
      <c r="K30" s="12" t="s">
        <v>711</v>
      </c>
      <c r="L30" s="12">
        <v>19</v>
      </c>
      <c r="M30" s="12">
        <v>19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U30" s="12">
        <v>30</v>
      </c>
      <c r="V30" s="12">
        <v>5</v>
      </c>
      <c r="W30" s="12">
        <v>5</v>
      </c>
      <c r="AD30" s="12">
        <v>30</v>
      </c>
      <c r="AE30" s="12">
        <v>9</v>
      </c>
      <c r="AF30" s="87">
        <v>9</v>
      </c>
    </row>
    <row r="31" spans="1:32" x14ac:dyDescent="0.3">
      <c r="C31" s="147" t="s">
        <v>711</v>
      </c>
      <c r="D31" s="147">
        <v>41.2</v>
      </c>
      <c r="E31" s="86">
        <v>41.2</v>
      </c>
      <c r="K31" s="12" t="s">
        <v>711</v>
      </c>
      <c r="L31" s="12">
        <v>3</v>
      </c>
      <c r="M31" s="79">
        <v>3</v>
      </c>
      <c r="N31" s="79">
        <v>0</v>
      </c>
      <c r="O31" s="79">
        <v>0</v>
      </c>
      <c r="P31" s="79">
        <v>0</v>
      </c>
      <c r="Q31" s="79">
        <v>0</v>
      </c>
      <c r="R31" s="79">
        <v>0</v>
      </c>
      <c r="U31" s="12">
        <v>31</v>
      </c>
      <c r="V31" s="12">
        <v>3</v>
      </c>
      <c r="W31" s="12">
        <v>3</v>
      </c>
      <c r="AD31" s="12">
        <v>31</v>
      </c>
      <c r="AE31" s="12">
        <v>8.84</v>
      </c>
      <c r="AF31" s="86">
        <v>8.84</v>
      </c>
    </row>
    <row r="32" spans="1:32" x14ac:dyDescent="0.3">
      <c r="C32" s="147" t="s">
        <v>712</v>
      </c>
      <c r="D32" s="147">
        <v>43.6</v>
      </c>
      <c r="E32" s="86">
        <v>43.6</v>
      </c>
      <c r="K32" s="12" t="s">
        <v>712</v>
      </c>
      <c r="L32" s="12">
        <v>61</v>
      </c>
      <c r="M32" s="79">
        <v>61</v>
      </c>
      <c r="N32" s="79">
        <v>0</v>
      </c>
      <c r="O32" s="79">
        <v>0</v>
      </c>
      <c r="P32" s="79">
        <v>0</v>
      </c>
      <c r="Q32" s="79">
        <v>0</v>
      </c>
      <c r="R32" s="79">
        <v>0</v>
      </c>
      <c r="U32" s="12">
        <v>32</v>
      </c>
      <c r="V32" s="12">
        <v>3</v>
      </c>
      <c r="W32" s="12">
        <v>3</v>
      </c>
      <c r="AD32" s="12">
        <v>32</v>
      </c>
      <c r="AE32" s="12">
        <v>10.1</v>
      </c>
      <c r="AF32" s="88">
        <v>10.1</v>
      </c>
    </row>
    <row r="33" spans="3:32" x14ac:dyDescent="0.3">
      <c r="C33" s="147" t="s">
        <v>272</v>
      </c>
      <c r="D33" s="147">
        <v>43.6</v>
      </c>
      <c r="E33" s="86">
        <v>43.6</v>
      </c>
      <c r="K33" s="12" t="s">
        <v>272</v>
      </c>
      <c r="L33" s="12">
        <v>141</v>
      </c>
      <c r="M33" s="79">
        <v>141</v>
      </c>
      <c r="N33" s="79">
        <v>0</v>
      </c>
      <c r="O33" s="79">
        <v>0</v>
      </c>
      <c r="P33" s="79">
        <v>0</v>
      </c>
      <c r="Q33" s="79">
        <v>0</v>
      </c>
      <c r="R33" s="79">
        <v>0</v>
      </c>
      <c r="U33" s="12">
        <v>33</v>
      </c>
      <c r="V33" s="12">
        <v>2</v>
      </c>
      <c r="W33" s="12">
        <v>2</v>
      </c>
      <c r="AD33" s="12">
        <v>33</v>
      </c>
      <c r="AE33" s="12">
        <v>9.15</v>
      </c>
      <c r="AF33" s="87">
        <v>9.15</v>
      </c>
    </row>
    <row r="34" spans="3:32" x14ac:dyDescent="0.3">
      <c r="C34" s="147" t="s">
        <v>260</v>
      </c>
      <c r="D34" s="147">
        <v>44.5</v>
      </c>
      <c r="E34" s="86">
        <v>44.5</v>
      </c>
      <c r="K34" s="12" t="s">
        <v>260</v>
      </c>
      <c r="L34" s="12">
        <v>204</v>
      </c>
      <c r="M34" s="79">
        <v>204</v>
      </c>
      <c r="N34" s="79">
        <v>0</v>
      </c>
      <c r="O34" s="79">
        <v>0</v>
      </c>
      <c r="P34" s="79">
        <v>0</v>
      </c>
      <c r="Q34" s="79">
        <v>0</v>
      </c>
      <c r="R34" s="79">
        <v>0</v>
      </c>
      <c r="U34" s="12">
        <v>34</v>
      </c>
      <c r="V34" s="12">
        <v>4</v>
      </c>
      <c r="W34" s="12">
        <v>4</v>
      </c>
      <c r="AD34" s="12">
        <v>34</v>
      </c>
      <c r="AE34" s="12">
        <v>9.76</v>
      </c>
      <c r="AF34" s="87">
        <v>9.76</v>
      </c>
    </row>
    <row r="35" spans="3:32" x14ac:dyDescent="0.3">
      <c r="C35" s="147" t="s">
        <v>261</v>
      </c>
      <c r="D35" s="147">
        <v>42.9</v>
      </c>
      <c r="E35" s="86">
        <v>42.9</v>
      </c>
      <c r="K35" s="12" t="s">
        <v>261</v>
      </c>
      <c r="L35" s="12">
        <v>112</v>
      </c>
      <c r="M35" s="79">
        <v>112</v>
      </c>
      <c r="N35" s="79">
        <v>0</v>
      </c>
      <c r="O35" s="79">
        <v>0</v>
      </c>
      <c r="P35" s="79">
        <v>0</v>
      </c>
      <c r="Q35" s="79">
        <v>0</v>
      </c>
      <c r="R35" s="79">
        <v>0</v>
      </c>
      <c r="U35" s="12">
        <v>35</v>
      </c>
      <c r="V35" s="12">
        <v>1</v>
      </c>
      <c r="W35" s="12">
        <v>1</v>
      </c>
      <c r="AD35" s="12">
        <v>35</v>
      </c>
      <c r="AE35" s="12">
        <v>10.1</v>
      </c>
      <c r="AF35" s="88">
        <v>10.1</v>
      </c>
    </row>
    <row r="36" spans="3:32" x14ac:dyDescent="0.3">
      <c r="C36" s="147" t="s">
        <v>262</v>
      </c>
      <c r="D36" s="147">
        <v>42</v>
      </c>
      <c r="E36" s="86">
        <v>42</v>
      </c>
      <c r="K36" s="12" t="s">
        <v>262</v>
      </c>
      <c r="L36" s="12">
        <v>46</v>
      </c>
      <c r="M36" s="79">
        <v>46</v>
      </c>
      <c r="N36" s="79">
        <v>0</v>
      </c>
      <c r="O36" s="79">
        <v>0</v>
      </c>
      <c r="P36" s="79">
        <v>0</v>
      </c>
      <c r="Q36" s="79">
        <v>0</v>
      </c>
      <c r="R36" s="79">
        <v>0</v>
      </c>
      <c r="U36" s="12">
        <v>36</v>
      </c>
      <c r="AD36" s="12">
        <v>36</v>
      </c>
    </row>
    <row r="37" spans="3:32" x14ac:dyDescent="0.3">
      <c r="C37" s="147" t="s">
        <v>263</v>
      </c>
      <c r="D37" s="147">
        <v>44</v>
      </c>
      <c r="E37" s="86">
        <v>44</v>
      </c>
      <c r="K37" s="12" t="s">
        <v>263</v>
      </c>
      <c r="L37" s="12">
        <v>15</v>
      </c>
      <c r="M37" s="79">
        <v>15</v>
      </c>
      <c r="N37" s="79">
        <v>0</v>
      </c>
      <c r="O37" s="79">
        <v>0</v>
      </c>
      <c r="P37" s="79">
        <v>0</v>
      </c>
      <c r="Q37" s="79">
        <v>0</v>
      </c>
      <c r="R37" s="79">
        <v>0</v>
      </c>
      <c r="U37" s="12">
        <v>37</v>
      </c>
      <c r="V37" s="12">
        <v>1</v>
      </c>
      <c r="W37" s="12">
        <v>1</v>
      </c>
      <c r="AD37" s="12">
        <v>37</v>
      </c>
      <c r="AE37" s="12">
        <v>12.07</v>
      </c>
      <c r="AF37" s="12">
        <v>12.07</v>
      </c>
    </row>
    <row r="38" spans="3:32" x14ac:dyDescent="0.3">
      <c r="C38" s="147" t="s">
        <v>264</v>
      </c>
      <c r="D38" s="147">
        <v>39.799999999999997</v>
      </c>
      <c r="E38" s="86">
        <v>39.799999999999997</v>
      </c>
      <c r="K38" s="12" t="s">
        <v>264</v>
      </c>
      <c r="L38" s="12">
        <v>4</v>
      </c>
      <c r="M38" s="79">
        <v>4</v>
      </c>
      <c r="N38" s="79">
        <v>0</v>
      </c>
      <c r="O38" s="79">
        <v>0</v>
      </c>
      <c r="P38" s="79">
        <v>0</v>
      </c>
      <c r="Q38" s="79">
        <v>0</v>
      </c>
      <c r="R38" s="79">
        <v>0</v>
      </c>
      <c r="U38" s="12">
        <v>38</v>
      </c>
      <c r="AD38" s="12">
        <v>38</v>
      </c>
    </row>
    <row r="39" spans="3:32" x14ac:dyDescent="0.3">
      <c r="C39" s="12" t="s">
        <v>264</v>
      </c>
      <c r="D39" s="12">
        <v>48.8</v>
      </c>
      <c r="E39" s="86">
        <v>48.8</v>
      </c>
      <c r="K39" s="12" t="s">
        <v>264</v>
      </c>
      <c r="L39" s="12">
        <v>6</v>
      </c>
      <c r="M39" s="12">
        <v>6</v>
      </c>
      <c r="N39" s="12">
        <v>0</v>
      </c>
      <c r="O39" s="12">
        <v>0</v>
      </c>
      <c r="P39" s="12">
        <v>0</v>
      </c>
      <c r="Q39" s="12">
        <v>0</v>
      </c>
      <c r="R39" s="12">
        <v>0</v>
      </c>
      <c r="U39" s="12">
        <v>39</v>
      </c>
      <c r="AD39" s="12">
        <v>39</v>
      </c>
    </row>
    <row r="40" spans="3:32" x14ac:dyDescent="0.3">
      <c r="C40" s="12" t="s">
        <v>305</v>
      </c>
      <c r="D40" s="12">
        <v>48.8</v>
      </c>
      <c r="E40" s="86">
        <v>48.8</v>
      </c>
      <c r="K40" s="12" t="s">
        <v>305</v>
      </c>
      <c r="L40" s="12">
        <v>16</v>
      </c>
      <c r="M40" s="12">
        <v>16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U40" s="12">
        <v>40</v>
      </c>
      <c r="AD40" s="12">
        <v>40</v>
      </c>
    </row>
    <row r="41" spans="3:32" x14ac:dyDescent="0.3">
      <c r="C41" s="12" t="s">
        <v>306</v>
      </c>
      <c r="D41" s="12">
        <v>49.8</v>
      </c>
      <c r="E41" s="86">
        <v>49.8</v>
      </c>
      <c r="K41" s="12" t="s">
        <v>306</v>
      </c>
      <c r="L41" s="12">
        <v>53</v>
      </c>
      <c r="M41" s="12">
        <v>53</v>
      </c>
      <c r="N41" s="12">
        <v>0</v>
      </c>
      <c r="O41" s="12">
        <v>0</v>
      </c>
      <c r="P41" s="12">
        <v>0</v>
      </c>
      <c r="Q41" s="12">
        <v>0</v>
      </c>
      <c r="R41" s="12">
        <v>0</v>
      </c>
      <c r="U41" s="12">
        <v>41</v>
      </c>
      <c r="AD41" s="12">
        <v>41</v>
      </c>
    </row>
    <row r="42" spans="3:32" x14ac:dyDescent="0.3">
      <c r="C42" s="12" t="s">
        <v>270</v>
      </c>
      <c r="D42" s="12">
        <v>48.9</v>
      </c>
      <c r="E42" s="86">
        <v>48.9</v>
      </c>
      <c r="K42" s="12" t="s">
        <v>270</v>
      </c>
      <c r="L42" s="12">
        <v>98</v>
      </c>
      <c r="M42" s="12">
        <v>98</v>
      </c>
      <c r="N42" s="12">
        <v>0</v>
      </c>
      <c r="O42" s="12">
        <v>0</v>
      </c>
      <c r="P42" s="12">
        <v>0</v>
      </c>
      <c r="Q42" s="12">
        <v>0</v>
      </c>
      <c r="R42" s="12">
        <v>0</v>
      </c>
      <c r="U42" s="12">
        <v>42</v>
      </c>
      <c r="AD42" s="12">
        <v>42</v>
      </c>
    </row>
    <row r="43" spans="3:32" x14ac:dyDescent="0.3">
      <c r="C43" s="12" t="s">
        <v>271</v>
      </c>
      <c r="D43" s="12">
        <v>50.8</v>
      </c>
      <c r="E43" s="85">
        <v>50.8</v>
      </c>
      <c r="K43" s="12" t="s">
        <v>271</v>
      </c>
      <c r="L43" s="12">
        <v>105</v>
      </c>
      <c r="M43" s="12">
        <v>105</v>
      </c>
      <c r="N43" s="12">
        <v>0</v>
      </c>
      <c r="O43" s="12">
        <v>0</v>
      </c>
      <c r="P43" s="12">
        <v>0</v>
      </c>
      <c r="Q43" s="12">
        <v>0</v>
      </c>
      <c r="R43" s="12">
        <v>0</v>
      </c>
      <c r="U43" s="12">
        <v>43</v>
      </c>
      <c r="AD43" s="12">
        <v>43</v>
      </c>
    </row>
    <row r="44" spans="3:32" x14ac:dyDescent="0.3">
      <c r="C44" s="12" t="s">
        <v>253</v>
      </c>
      <c r="D44" s="12">
        <v>52.1</v>
      </c>
      <c r="E44" s="85">
        <v>52.1</v>
      </c>
      <c r="K44" s="12" t="s">
        <v>253</v>
      </c>
      <c r="L44" s="12">
        <v>129</v>
      </c>
      <c r="M44" s="12">
        <v>129</v>
      </c>
      <c r="N44" s="12">
        <v>0</v>
      </c>
      <c r="O44" s="12">
        <v>0</v>
      </c>
      <c r="P44" s="12">
        <v>0</v>
      </c>
      <c r="Q44" s="12">
        <v>0</v>
      </c>
      <c r="R44" s="12">
        <v>0</v>
      </c>
      <c r="U44" s="12">
        <v>44</v>
      </c>
      <c r="AD44" s="12">
        <v>44</v>
      </c>
    </row>
    <row r="45" spans="3:32" x14ac:dyDescent="0.3">
      <c r="C45" s="12" t="s">
        <v>254</v>
      </c>
      <c r="D45" s="12">
        <v>52</v>
      </c>
      <c r="E45" s="85">
        <v>52</v>
      </c>
      <c r="K45" s="12" t="s">
        <v>254</v>
      </c>
      <c r="L45" s="12">
        <v>83</v>
      </c>
      <c r="M45" s="12">
        <v>83</v>
      </c>
      <c r="N45" s="12">
        <v>0</v>
      </c>
      <c r="O45" s="12">
        <v>0</v>
      </c>
      <c r="P45" s="12">
        <v>0</v>
      </c>
      <c r="Q45" s="12">
        <v>0</v>
      </c>
      <c r="R45" s="12">
        <v>0</v>
      </c>
      <c r="U45" s="12">
        <v>45</v>
      </c>
      <c r="AD45" s="12">
        <v>45</v>
      </c>
    </row>
    <row r="46" spans="3:32" x14ac:dyDescent="0.3">
      <c r="C46" s="12" t="s">
        <v>255</v>
      </c>
      <c r="D46" s="12">
        <v>52.4</v>
      </c>
      <c r="E46" s="85">
        <v>52.4</v>
      </c>
      <c r="K46" s="12" t="s">
        <v>255</v>
      </c>
      <c r="L46" s="12">
        <v>60</v>
      </c>
      <c r="M46" s="12">
        <v>60</v>
      </c>
      <c r="N46" s="12">
        <v>0</v>
      </c>
      <c r="O46" s="12">
        <v>0</v>
      </c>
      <c r="P46" s="12">
        <v>0</v>
      </c>
      <c r="Q46" s="12">
        <v>0</v>
      </c>
      <c r="R46" s="12">
        <v>0</v>
      </c>
      <c r="U46" s="12">
        <v>46</v>
      </c>
      <c r="AD46" s="12">
        <v>46</v>
      </c>
    </row>
    <row r="47" spans="3:32" x14ac:dyDescent="0.3">
      <c r="C47" s="12" t="s">
        <v>256</v>
      </c>
      <c r="D47" s="12">
        <v>51.4</v>
      </c>
      <c r="E47" s="85">
        <v>51.4</v>
      </c>
      <c r="K47" s="12" t="s">
        <v>256</v>
      </c>
      <c r="L47" s="12">
        <v>33</v>
      </c>
      <c r="M47" s="12">
        <v>33</v>
      </c>
      <c r="N47" s="12">
        <v>0</v>
      </c>
      <c r="O47" s="12">
        <v>0</v>
      </c>
      <c r="P47" s="12">
        <v>0</v>
      </c>
      <c r="Q47" s="12">
        <v>0</v>
      </c>
      <c r="R47" s="12">
        <v>0</v>
      </c>
      <c r="U47" s="12">
        <v>47</v>
      </c>
      <c r="AD47" s="12">
        <v>47</v>
      </c>
    </row>
    <row r="48" spans="3:32" x14ac:dyDescent="0.3">
      <c r="C48" s="12" t="s">
        <v>257</v>
      </c>
      <c r="D48" s="12">
        <v>51</v>
      </c>
      <c r="E48" s="85">
        <v>51</v>
      </c>
      <c r="K48" s="12" t="s">
        <v>257</v>
      </c>
      <c r="L48" s="12">
        <v>9</v>
      </c>
      <c r="M48" s="12">
        <v>9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U48" s="12">
        <v>48</v>
      </c>
      <c r="AD48" s="12">
        <v>48</v>
      </c>
    </row>
    <row r="49" spans="3:32" x14ac:dyDescent="0.3">
      <c r="C49" s="12" t="s">
        <v>258</v>
      </c>
      <c r="D49" s="12">
        <v>55.4</v>
      </c>
      <c r="E49" s="85">
        <v>55.4</v>
      </c>
      <c r="K49" s="12" t="s">
        <v>258</v>
      </c>
      <c r="L49" s="12">
        <v>6</v>
      </c>
      <c r="M49" s="12">
        <v>6</v>
      </c>
      <c r="N49" s="12">
        <v>0</v>
      </c>
      <c r="O49" s="12">
        <v>0</v>
      </c>
      <c r="P49" s="12">
        <v>0</v>
      </c>
      <c r="Q49" s="12">
        <v>0</v>
      </c>
      <c r="R49" s="12">
        <v>0</v>
      </c>
      <c r="U49" s="12">
        <v>49</v>
      </c>
      <c r="AD49" s="12">
        <v>49</v>
      </c>
    </row>
    <row r="50" spans="3:32" x14ac:dyDescent="0.3">
      <c r="L50" s="12">
        <v>1648</v>
      </c>
      <c r="M50" s="79">
        <v>1648</v>
      </c>
      <c r="N50" s="79">
        <v>0</v>
      </c>
      <c r="O50" s="79">
        <v>0</v>
      </c>
      <c r="P50" s="79">
        <v>0</v>
      </c>
      <c r="Q50" s="79">
        <v>0</v>
      </c>
      <c r="R50" s="79">
        <v>0</v>
      </c>
      <c r="U50" s="12">
        <v>50</v>
      </c>
      <c r="AD50" s="12">
        <v>50</v>
      </c>
    </row>
    <row r="51" spans="3:32" x14ac:dyDescent="0.3">
      <c r="L51" s="12">
        <v>586</v>
      </c>
      <c r="M51" s="79">
        <v>586</v>
      </c>
      <c r="N51" s="79">
        <v>0</v>
      </c>
      <c r="O51" s="79">
        <v>0</v>
      </c>
      <c r="P51" s="79">
        <v>0</v>
      </c>
      <c r="Q51" s="79">
        <v>0</v>
      </c>
      <c r="R51" s="79">
        <v>0</v>
      </c>
      <c r="U51" s="12">
        <v>51</v>
      </c>
      <c r="AD51" s="12">
        <v>51</v>
      </c>
    </row>
    <row r="52" spans="3:32" x14ac:dyDescent="0.3">
      <c r="L52" s="12">
        <v>598</v>
      </c>
      <c r="M52" s="79">
        <v>598</v>
      </c>
      <c r="N52" s="79">
        <v>0</v>
      </c>
      <c r="O52" s="79">
        <v>0</v>
      </c>
      <c r="P52" s="79">
        <v>0</v>
      </c>
      <c r="Q52" s="79">
        <v>0</v>
      </c>
      <c r="R52" s="79">
        <v>0</v>
      </c>
      <c r="U52" s="12">
        <v>52</v>
      </c>
      <c r="AD52" s="12">
        <v>52</v>
      </c>
    </row>
    <row r="53" spans="3:32" x14ac:dyDescent="0.3">
      <c r="L53" s="12">
        <v>2832</v>
      </c>
      <c r="M53" s="12">
        <v>2832</v>
      </c>
      <c r="N53" s="12">
        <v>0</v>
      </c>
      <c r="O53" s="12">
        <v>0</v>
      </c>
      <c r="P53" s="12">
        <v>0</v>
      </c>
      <c r="Q53" s="12">
        <v>0</v>
      </c>
      <c r="R53" s="12">
        <v>0</v>
      </c>
      <c r="U53" s="12">
        <v>53</v>
      </c>
      <c r="AD53" s="12">
        <v>53</v>
      </c>
    </row>
    <row r="54" spans="3:32" x14ac:dyDescent="0.3">
      <c r="U54" s="12">
        <v>54</v>
      </c>
      <c r="AD54" s="12">
        <v>54</v>
      </c>
    </row>
    <row r="55" spans="3:32" x14ac:dyDescent="0.3">
      <c r="U55" s="12">
        <v>30</v>
      </c>
      <c r="AD55" s="12">
        <v>30</v>
      </c>
    </row>
    <row r="56" spans="3:32" x14ac:dyDescent="0.3">
      <c r="U56" s="12">
        <v>31</v>
      </c>
      <c r="V56" s="12">
        <v>1</v>
      </c>
      <c r="W56" s="12">
        <v>1</v>
      </c>
      <c r="AD56" s="12">
        <v>31</v>
      </c>
      <c r="AE56" s="12">
        <v>20.85</v>
      </c>
      <c r="AF56" s="84">
        <v>20.85</v>
      </c>
    </row>
    <row r="57" spans="3:32" x14ac:dyDescent="0.3">
      <c r="U57" s="12">
        <v>32</v>
      </c>
      <c r="AD57" s="12">
        <v>32</v>
      </c>
    </row>
    <row r="58" spans="3:32" x14ac:dyDescent="0.3">
      <c r="U58" s="12">
        <v>33</v>
      </c>
      <c r="AD58" s="12">
        <v>33</v>
      </c>
    </row>
    <row r="59" spans="3:32" x14ac:dyDescent="0.3">
      <c r="U59" s="12">
        <v>34</v>
      </c>
      <c r="AD59" s="12">
        <v>34</v>
      </c>
    </row>
    <row r="60" spans="3:32" x14ac:dyDescent="0.3">
      <c r="U60" s="12">
        <v>35</v>
      </c>
      <c r="V60" s="12">
        <v>1</v>
      </c>
      <c r="W60" s="12">
        <v>1</v>
      </c>
      <c r="AD60" s="12">
        <v>35</v>
      </c>
      <c r="AE60" s="12">
        <v>16.43</v>
      </c>
      <c r="AF60" s="81">
        <v>16.43</v>
      </c>
    </row>
    <row r="61" spans="3:32" x14ac:dyDescent="0.3">
      <c r="U61" s="12">
        <v>36</v>
      </c>
      <c r="AD61" s="12">
        <v>36</v>
      </c>
    </row>
    <row r="62" spans="3:32" x14ac:dyDescent="0.3">
      <c r="U62" s="12">
        <v>37</v>
      </c>
      <c r="AD62" s="12">
        <v>37</v>
      </c>
    </row>
    <row r="63" spans="3:32" x14ac:dyDescent="0.3">
      <c r="U63" s="12">
        <v>38</v>
      </c>
      <c r="V63" s="12">
        <v>1</v>
      </c>
      <c r="W63" s="12">
        <v>1</v>
      </c>
      <c r="AD63" s="12">
        <v>38</v>
      </c>
      <c r="AE63" s="12">
        <v>16.78</v>
      </c>
      <c r="AF63" s="81">
        <v>16.78</v>
      </c>
    </row>
    <row r="64" spans="3:32" x14ac:dyDescent="0.3">
      <c r="U64" s="12">
        <v>39</v>
      </c>
      <c r="AD64" s="12">
        <v>39</v>
      </c>
      <c r="AF64" s="88"/>
    </row>
    <row r="65" spans="21:32" x14ac:dyDescent="0.3">
      <c r="U65" s="12">
        <v>40</v>
      </c>
      <c r="V65" s="12">
        <v>1</v>
      </c>
      <c r="W65" s="12">
        <v>1</v>
      </c>
      <c r="AD65" s="12">
        <v>40</v>
      </c>
      <c r="AE65" s="12">
        <v>15.62</v>
      </c>
      <c r="AF65" s="15">
        <v>15.62</v>
      </c>
    </row>
    <row r="66" spans="21:32" x14ac:dyDescent="0.3">
      <c r="U66" s="12">
        <v>41</v>
      </c>
      <c r="V66" s="12">
        <v>2</v>
      </c>
      <c r="W66" s="12">
        <v>2</v>
      </c>
      <c r="AD66" s="12">
        <v>41</v>
      </c>
      <c r="AE66" s="12">
        <v>25.37</v>
      </c>
      <c r="AF66" s="87">
        <v>25.37</v>
      </c>
    </row>
    <row r="67" spans="21:32" x14ac:dyDescent="0.3">
      <c r="U67" s="12">
        <v>42</v>
      </c>
      <c r="V67" s="12">
        <v>6</v>
      </c>
      <c r="W67" s="12">
        <v>6</v>
      </c>
      <c r="AD67" s="12">
        <v>42</v>
      </c>
      <c r="AE67" s="12">
        <v>18.23</v>
      </c>
      <c r="AF67" s="82">
        <v>18.23</v>
      </c>
    </row>
    <row r="68" spans="21:32" x14ac:dyDescent="0.3">
      <c r="U68" s="12">
        <v>43</v>
      </c>
      <c r="V68" s="12">
        <v>2</v>
      </c>
      <c r="W68" s="12">
        <v>2</v>
      </c>
      <c r="AD68" s="12">
        <v>43</v>
      </c>
      <c r="AE68" s="12">
        <v>18.61</v>
      </c>
      <c r="AF68" s="82">
        <v>18.61</v>
      </c>
    </row>
    <row r="69" spans="21:32" x14ac:dyDescent="0.3">
      <c r="U69" s="12">
        <v>44</v>
      </c>
      <c r="V69" s="12">
        <v>2</v>
      </c>
      <c r="W69" s="12">
        <v>2</v>
      </c>
      <c r="AD69" s="12">
        <v>44</v>
      </c>
      <c r="AE69" s="12">
        <v>18.77</v>
      </c>
      <c r="AF69" s="82">
        <v>18.77</v>
      </c>
    </row>
    <row r="70" spans="21:32" x14ac:dyDescent="0.3">
      <c r="U70" s="12">
        <v>45</v>
      </c>
      <c r="V70" s="12">
        <v>1</v>
      </c>
      <c r="W70" s="12">
        <v>1</v>
      </c>
      <c r="AD70" s="12">
        <v>45</v>
      </c>
      <c r="AE70" s="12">
        <v>22</v>
      </c>
      <c r="AF70" s="86">
        <v>22</v>
      </c>
    </row>
    <row r="71" spans="21:32" x14ac:dyDescent="0.3">
      <c r="U71" s="12">
        <v>46</v>
      </c>
      <c r="V71" s="12">
        <v>8</v>
      </c>
      <c r="W71" s="12">
        <v>8</v>
      </c>
      <c r="AD71" s="12">
        <v>46</v>
      </c>
      <c r="AE71" s="12">
        <v>20.28</v>
      </c>
      <c r="AF71" s="84">
        <v>20.28</v>
      </c>
    </row>
    <row r="72" spans="21:32" x14ac:dyDescent="0.3">
      <c r="U72" s="12">
        <v>47</v>
      </c>
      <c r="V72" s="12">
        <v>8</v>
      </c>
      <c r="W72" s="12">
        <v>8</v>
      </c>
      <c r="AD72" s="12">
        <v>47</v>
      </c>
      <c r="AE72" s="12">
        <v>21.35</v>
      </c>
      <c r="AF72" s="85">
        <v>21.35</v>
      </c>
    </row>
    <row r="73" spans="21:32" x14ac:dyDescent="0.3">
      <c r="U73" s="12">
        <v>48</v>
      </c>
      <c r="V73" s="12">
        <v>16</v>
      </c>
      <c r="W73" s="12">
        <v>16</v>
      </c>
      <c r="AD73" s="12">
        <v>48</v>
      </c>
      <c r="AE73" s="12">
        <v>21.57</v>
      </c>
      <c r="AF73" s="85">
        <v>21.57</v>
      </c>
    </row>
    <row r="74" spans="21:32" x14ac:dyDescent="0.3">
      <c r="U74" s="12">
        <v>49</v>
      </c>
      <c r="V74" s="12">
        <v>15</v>
      </c>
      <c r="W74" s="12">
        <v>15</v>
      </c>
      <c r="AD74" s="12">
        <v>49</v>
      </c>
      <c r="AE74" s="12">
        <v>20.86</v>
      </c>
      <c r="AF74" s="84">
        <v>20.86</v>
      </c>
    </row>
    <row r="75" spans="21:32" x14ac:dyDescent="0.3">
      <c r="U75" s="12">
        <v>50</v>
      </c>
      <c r="V75" s="12">
        <v>10</v>
      </c>
      <c r="W75" s="12">
        <v>10</v>
      </c>
      <c r="AD75" s="12">
        <v>50</v>
      </c>
      <c r="AE75" s="12">
        <v>21.54</v>
      </c>
      <c r="AF75" s="85">
        <v>21.54</v>
      </c>
    </row>
    <row r="76" spans="21:32" x14ac:dyDescent="0.3">
      <c r="U76" s="12">
        <v>51</v>
      </c>
      <c r="V76" s="12">
        <v>7</v>
      </c>
      <c r="W76" s="12">
        <v>7</v>
      </c>
      <c r="AD76" s="12">
        <v>51</v>
      </c>
      <c r="AE76" s="12">
        <v>22.97</v>
      </c>
      <c r="AF76" s="86">
        <v>22.97</v>
      </c>
    </row>
    <row r="77" spans="21:32" x14ac:dyDescent="0.3">
      <c r="U77" s="12">
        <v>52</v>
      </c>
      <c r="V77" s="12">
        <v>8</v>
      </c>
      <c r="W77" s="12">
        <v>8</v>
      </c>
      <c r="AD77" s="12">
        <v>52</v>
      </c>
      <c r="AE77" s="12">
        <v>21.78</v>
      </c>
      <c r="AF77" s="85">
        <v>21.78</v>
      </c>
    </row>
    <row r="78" spans="21:32" x14ac:dyDescent="0.3">
      <c r="U78" s="12">
        <v>53</v>
      </c>
      <c r="V78" s="12">
        <v>16</v>
      </c>
      <c r="W78" s="12">
        <v>16</v>
      </c>
      <c r="AD78" s="12">
        <v>53</v>
      </c>
      <c r="AE78" s="12">
        <v>23.44</v>
      </c>
      <c r="AF78" s="86">
        <v>23.44</v>
      </c>
    </row>
    <row r="79" spans="21:32" x14ac:dyDescent="0.3">
      <c r="U79" s="12">
        <v>54</v>
      </c>
      <c r="V79" s="12">
        <v>16</v>
      </c>
      <c r="W79" s="12">
        <v>16</v>
      </c>
      <c r="AD79" s="12">
        <v>54</v>
      </c>
      <c r="AE79" s="12">
        <v>22.97</v>
      </c>
      <c r="AF79" s="86">
        <v>22.97</v>
      </c>
    </row>
    <row r="80" spans="21:32" x14ac:dyDescent="0.3">
      <c r="U80" s="12">
        <v>55</v>
      </c>
      <c r="V80" s="12">
        <v>8</v>
      </c>
      <c r="W80" s="12">
        <v>8</v>
      </c>
      <c r="AD80" s="12">
        <v>55</v>
      </c>
      <c r="AE80" s="12">
        <v>21.8</v>
      </c>
      <c r="AF80" s="85">
        <v>21.8</v>
      </c>
    </row>
    <row r="81" spans="21:32" x14ac:dyDescent="0.3">
      <c r="U81" s="12">
        <v>56</v>
      </c>
      <c r="V81" s="12">
        <v>16</v>
      </c>
      <c r="W81" s="12">
        <v>16</v>
      </c>
      <c r="AD81" s="12">
        <v>56</v>
      </c>
      <c r="AE81" s="12">
        <v>22.14</v>
      </c>
      <c r="AF81" s="86">
        <v>22.14</v>
      </c>
    </row>
    <row r="82" spans="21:32" x14ac:dyDescent="0.3">
      <c r="U82" s="12">
        <v>57</v>
      </c>
      <c r="V82" s="12">
        <v>19</v>
      </c>
      <c r="W82" s="12">
        <v>19</v>
      </c>
      <c r="AD82" s="12">
        <v>57</v>
      </c>
      <c r="AE82" s="12">
        <v>23.02</v>
      </c>
      <c r="AF82" s="86">
        <v>23.02</v>
      </c>
    </row>
    <row r="83" spans="21:32" x14ac:dyDescent="0.3">
      <c r="U83" s="12">
        <v>58</v>
      </c>
      <c r="V83" s="12">
        <v>16</v>
      </c>
      <c r="W83" s="12">
        <v>16</v>
      </c>
      <c r="AD83" s="12">
        <v>58</v>
      </c>
      <c r="AE83" s="12">
        <v>24.23</v>
      </c>
      <c r="AF83" s="87">
        <v>24.23</v>
      </c>
    </row>
    <row r="84" spans="21:32" x14ac:dyDescent="0.3">
      <c r="U84" s="12">
        <v>59</v>
      </c>
      <c r="V84" s="12">
        <v>25</v>
      </c>
      <c r="W84" s="12">
        <v>25</v>
      </c>
      <c r="AD84" s="12">
        <v>59</v>
      </c>
      <c r="AE84" s="12">
        <v>23.5</v>
      </c>
      <c r="AF84" s="86">
        <v>23.5</v>
      </c>
    </row>
    <row r="85" spans="21:32" x14ac:dyDescent="0.3">
      <c r="U85" s="12">
        <v>60</v>
      </c>
      <c r="V85" s="12">
        <v>18</v>
      </c>
      <c r="W85" s="12">
        <v>18</v>
      </c>
      <c r="AD85" s="12">
        <v>60</v>
      </c>
      <c r="AE85" s="12">
        <v>22.78</v>
      </c>
      <c r="AF85" s="86">
        <v>22.78</v>
      </c>
    </row>
    <row r="86" spans="21:32" x14ac:dyDescent="0.3">
      <c r="U86" s="12">
        <v>61</v>
      </c>
      <c r="V86" s="12">
        <v>19</v>
      </c>
      <c r="W86" s="12">
        <v>19</v>
      </c>
      <c r="AD86" s="12">
        <v>61</v>
      </c>
      <c r="AE86" s="12">
        <v>24.97</v>
      </c>
      <c r="AF86" s="87">
        <v>24.97</v>
      </c>
    </row>
    <row r="87" spans="21:32" x14ac:dyDescent="0.3">
      <c r="U87" s="12">
        <v>62</v>
      </c>
      <c r="V87" s="12">
        <v>20</v>
      </c>
      <c r="W87" s="12">
        <v>20</v>
      </c>
      <c r="AD87" s="12">
        <v>62</v>
      </c>
      <c r="AE87" s="12">
        <v>23.8</v>
      </c>
      <c r="AF87" s="86">
        <v>23.8</v>
      </c>
    </row>
    <row r="88" spans="21:32" x14ac:dyDescent="0.3">
      <c r="U88" s="12">
        <v>63</v>
      </c>
      <c r="V88" s="12">
        <v>16</v>
      </c>
      <c r="W88" s="12">
        <v>16</v>
      </c>
      <c r="AD88" s="12">
        <v>63</v>
      </c>
      <c r="AE88" s="12">
        <v>24.58</v>
      </c>
      <c r="AF88" s="87">
        <v>24.58</v>
      </c>
    </row>
    <row r="89" spans="21:32" x14ac:dyDescent="0.3">
      <c r="U89" s="12">
        <v>64</v>
      </c>
      <c r="V89" s="12">
        <v>25</v>
      </c>
      <c r="W89" s="12">
        <v>25</v>
      </c>
      <c r="AD89" s="12">
        <v>64</v>
      </c>
      <c r="AE89" s="12">
        <v>24.86</v>
      </c>
      <c r="AF89" s="87">
        <v>24.86</v>
      </c>
    </row>
    <row r="90" spans="21:32" x14ac:dyDescent="0.3">
      <c r="U90" s="12">
        <v>65</v>
      </c>
      <c r="V90" s="12">
        <v>26</v>
      </c>
      <c r="W90" s="12">
        <v>26</v>
      </c>
      <c r="AD90" s="12">
        <v>65</v>
      </c>
      <c r="AE90" s="12">
        <v>25.21</v>
      </c>
      <c r="AF90" s="87">
        <v>25.21</v>
      </c>
    </row>
    <row r="91" spans="21:32" x14ac:dyDescent="0.3">
      <c r="U91" s="12">
        <v>66</v>
      </c>
      <c r="V91" s="12">
        <v>20</v>
      </c>
      <c r="W91" s="12">
        <v>20</v>
      </c>
      <c r="AD91" s="12">
        <v>66</v>
      </c>
      <c r="AE91" s="12">
        <v>24.37</v>
      </c>
      <c r="AF91" s="87">
        <v>24.37</v>
      </c>
    </row>
    <row r="92" spans="21:32" x14ac:dyDescent="0.3">
      <c r="U92" s="12">
        <v>67</v>
      </c>
      <c r="V92" s="12">
        <v>19</v>
      </c>
      <c r="W92" s="12">
        <v>19</v>
      </c>
      <c r="AD92" s="12">
        <v>67</v>
      </c>
      <c r="AE92" s="12">
        <v>24.49</v>
      </c>
      <c r="AF92" s="87">
        <v>24.49</v>
      </c>
    </row>
    <row r="93" spans="21:32" x14ac:dyDescent="0.3">
      <c r="U93" s="12">
        <v>68</v>
      </c>
      <c r="V93" s="12">
        <v>19</v>
      </c>
      <c r="W93" s="12">
        <v>19</v>
      </c>
      <c r="AD93" s="12">
        <v>68</v>
      </c>
      <c r="AE93" s="12">
        <v>26.23</v>
      </c>
      <c r="AF93" s="88">
        <v>26.23</v>
      </c>
    </row>
    <row r="94" spans="21:32" x14ac:dyDescent="0.3">
      <c r="U94" s="12">
        <v>69</v>
      </c>
      <c r="V94" s="12">
        <v>22</v>
      </c>
      <c r="W94" s="12">
        <v>22</v>
      </c>
      <c r="AD94" s="12">
        <v>69</v>
      </c>
      <c r="AE94" s="12">
        <v>26.39</v>
      </c>
      <c r="AF94" s="88">
        <v>26.39</v>
      </c>
    </row>
    <row r="95" spans="21:32" x14ac:dyDescent="0.3">
      <c r="U95" s="12">
        <v>70</v>
      </c>
      <c r="V95" s="12">
        <v>9</v>
      </c>
      <c r="W95" s="12">
        <v>9</v>
      </c>
      <c r="AD95" s="12">
        <v>70</v>
      </c>
      <c r="AE95" s="12">
        <v>27.36</v>
      </c>
      <c r="AF95" s="88">
        <v>27.36</v>
      </c>
    </row>
    <row r="96" spans="21:32" x14ac:dyDescent="0.3">
      <c r="U96" s="12">
        <v>71</v>
      </c>
      <c r="V96" s="12">
        <v>17</v>
      </c>
      <c r="W96" s="12">
        <v>17</v>
      </c>
      <c r="AD96" s="12">
        <v>71</v>
      </c>
      <c r="AE96" s="12">
        <v>27.07</v>
      </c>
      <c r="AF96" s="88">
        <v>27.07</v>
      </c>
    </row>
    <row r="97" spans="21:32" x14ac:dyDescent="0.3">
      <c r="U97" s="12">
        <v>72</v>
      </c>
      <c r="V97" s="12">
        <v>15</v>
      </c>
      <c r="W97" s="12">
        <v>15</v>
      </c>
      <c r="AD97" s="12">
        <v>72</v>
      </c>
      <c r="AE97" s="12">
        <v>27.6</v>
      </c>
      <c r="AF97" s="88">
        <v>27.6</v>
      </c>
    </row>
    <row r="98" spans="21:32" x14ac:dyDescent="0.3">
      <c r="U98" s="12">
        <v>73</v>
      </c>
      <c r="V98" s="12">
        <v>8</v>
      </c>
      <c r="W98" s="12">
        <v>8</v>
      </c>
      <c r="AD98" s="12">
        <v>73</v>
      </c>
      <c r="AE98" s="12">
        <v>26.87</v>
      </c>
      <c r="AF98" s="88">
        <v>26.87</v>
      </c>
    </row>
    <row r="99" spans="21:32" x14ac:dyDescent="0.3">
      <c r="U99" s="12">
        <v>74</v>
      </c>
      <c r="V99" s="12">
        <v>18</v>
      </c>
      <c r="W99" s="12">
        <v>18</v>
      </c>
      <c r="AD99" s="12">
        <v>74</v>
      </c>
      <c r="AE99" s="12">
        <v>27.44</v>
      </c>
      <c r="AF99" s="88">
        <v>27.44</v>
      </c>
    </row>
    <row r="100" spans="21:32" x14ac:dyDescent="0.3">
      <c r="U100" s="12">
        <v>75</v>
      </c>
      <c r="V100" s="12">
        <v>8</v>
      </c>
      <c r="W100" s="12">
        <v>8</v>
      </c>
      <c r="AD100" s="12">
        <v>75</v>
      </c>
      <c r="AE100" s="12">
        <v>27.35</v>
      </c>
      <c r="AF100" s="88">
        <v>27.35</v>
      </c>
    </row>
    <row r="101" spans="21:32" x14ac:dyDescent="0.3">
      <c r="U101" s="12">
        <v>76</v>
      </c>
      <c r="V101" s="12">
        <v>6</v>
      </c>
      <c r="W101" s="12">
        <v>6</v>
      </c>
      <c r="AD101" s="12">
        <v>76</v>
      </c>
      <c r="AE101" s="12">
        <v>26.61</v>
      </c>
      <c r="AF101" s="88">
        <v>26.61</v>
      </c>
    </row>
    <row r="102" spans="21:32" x14ac:dyDescent="0.3">
      <c r="U102" s="12">
        <v>77</v>
      </c>
      <c r="V102" s="12">
        <v>10</v>
      </c>
      <c r="W102" s="12">
        <v>10</v>
      </c>
      <c r="AD102" s="12">
        <v>77</v>
      </c>
      <c r="AE102" s="12">
        <v>26.85</v>
      </c>
      <c r="AF102" s="88">
        <v>26.85</v>
      </c>
    </row>
    <row r="103" spans="21:32" x14ac:dyDescent="0.3">
      <c r="U103" s="12">
        <v>78</v>
      </c>
      <c r="V103" s="12">
        <v>13</v>
      </c>
      <c r="W103" s="12">
        <v>13</v>
      </c>
      <c r="AD103" s="12">
        <v>78</v>
      </c>
      <c r="AE103" s="12">
        <v>28.79</v>
      </c>
      <c r="AF103" s="168">
        <v>28.79</v>
      </c>
    </row>
    <row r="104" spans="21:32" x14ac:dyDescent="0.3">
      <c r="U104" s="12">
        <v>79</v>
      </c>
      <c r="V104" s="12">
        <v>8</v>
      </c>
      <c r="W104" s="12">
        <v>8</v>
      </c>
      <c r="AD104" s="12">
        <v>79</v>
      </c>
      <c r="AE104" s="12">
        <v>28.93</v>
      </c>
      <c r="AF104" s="168">
        <v>28.93</v>
      </c>
    </row>
    <row r="105" spans="21:32" x14ac:dyDescent="0.3">
      <c r="U105" s="12">
        <v>80</v>
      </c>
      <c r="V105" s="12">
        <v>6</v>
      </c>
      <c r="W105" s="12">
        <v>6</v>
      </c>
      <c r="AD105" s="12">
        <v>80</v>
      </c>
      <c r="AE105" s="12">
        <v>28.35</v>
      </c>
      <c r="AF105" s="168">
        <v>28.35</v>
      </c>
    </row>
    <row r="106" spans="21:32" x14ac:dyDescent="0.3">
      <c r="U106" s="12">
        <v>81</v>
      </c>
      <c r="V106" s="12">
        <v>10</v>
      </c>
      <c r="W106" s="12">
        <v>10</v>
      </c>
      <c r="AD106" s="12">
        <v>81</v>
      </c>
      <c r="AE106" s="12">
        <v>29.41</v>
      </c>
      <c r="AF106" s="168">
        <v>29.41</v>
      </c>
    </row>
    <row r="107" spans="21:32" x14ac:dyDescent="0.3">
      <c r="U107" s="12">
        <v>82</v>
      </c>
      <c r="V107" s="12">
        <v>7</v>
      </c>
      <c r="W107" s="12">
        <v>7</v>
      </c>
      <c r="AD107" s="12">
        <v>82</v>
      </c>
      <c r="AE107" s="12">
        <v>28.8</v>
      </c>
      <c r="AF107" s="168">
        <v>28.8</v>
      </c>
    </row>
    <row r="108" spans="21:32" x14ac:dyDescent="0.3">
      <c r="U108" s="12">
        <v>83</v>
      </c>
      <c r="V108" s="12">
        <v>4</v>
      </c>
      <c r="W108" s="12">
        <v>4</v>
      </c>
      <c r="AD108" s="12">
        <v>83</v>
      </c>
      <c r="AE108" s="12">
        <v>30.62</v>
      </c>
      <c r="AF108" s="12">
        <v>30.62</v>
      </c>
    </row>
    <row r="109" spans="21:32" x14ac:dyDescent="0.3">
      <c r="U109" s="12">
        <v>84</v>
      </c>
      <c r="V109" s="12">
        <v>5</v>
      </c>
      <c r="W109" s="12">
        <v>5</v>
      </c>
      <c r="AD109" s="12">
        <v>84</v>
      </c>
      <c r="AE109" s="12">
        <v>32.53</v>
      </c>
      <c r="AF109" s="12">
        <v>32.53</v>
      </c>
    </row>
    <row r="110" spans="21:32" x14ac:dyDescent="0.3">
      <c r="U110" s="12">
        <v>85</v>
      </c>
      <c r="V110" s="12">
        <v>4</v>
      </c>
      <c r="W110" s="12">
        <v>4</v>
      </c>
      <c r="AD110" s="12">
        <v>85</v>
      </c>
      <c r="AE110" s="12">
        <v>29.49</v>
      </c>
      <c r="AF110" s="168">
        <v>29.49</v>
      </c>
    </row>
    <row r="111" spans="21:32" x14ac:dyDescent="0.3">
      <c r="U111" s="12">
        <v>86</v>
      </c>
      <c r="V111" s="12">
        <v>4</v>
      </c>
      <c r="W111" s="12">
        <v>4</v>
      </c>
      <c r="AD111" s="12">
        <v>86</v>
      </c>
      <c r="AE111" s="12">
        <v>30.82</v>
      </c>
      <c r="AF111" s="12">
        <v>30.82</v>
      </c>
    </row>
    <row r="112" spans="21:32" x14ac:dyDescent="0.3">
      <c r="U112" s="12">
        <v>87</v>
      </c>
      <c r="AD112" s="12">
        <v>87</v>
      </c>
    </row>
    <row r="113" spans="21:32" x14ac:dyDescent="0.3">
      <c r="U113" s="12">
        <v>88</v>
      </c>
      <c r="V113" s="12">
        <v>6</v>
      </c>
      <c r="W113" s="12">
        <v>6</v>
      </c>
      <c r="AD113" s="12">
        <v>88</v>
      </c>
      <c r="AE113" s="12">
        <v>29.9</v>
      </c>
      <c r="AF113" s="168">
        <v>29.9</v>
      </c>
    </row>
    <row r="114" spans="21:32" x14ac:dyDescent="0.3">
      <c r="U114" s="12">
        <v>89</v>
      </c>
      <c r="AD114" s="12">
        <v>89</v>
      </c>
    </row>
    <row r="115" spans="21:32" x14ac:dyDescent="0.3">
      <c r="U115" s="12">
        <v>90</v>
      </c>
      <c r="V115" s="12">
        <v>1</v>
      </c>
      <c r="W115" s="12">
        <v>1</v>
      </c>
      <c r="AD115" s="12">
        <v>90</v>
      </c>
      <c r="AE115" s="12">
        <v>31.66</v>
      </c>
      <c r="AF115" s="12">
        <v>31.66</v>
      </c>
    </row>
    <row r="116" spans="21:32" x14ac:dyDescent="0.3">
      <c r="U116" s="12">
        <v>91</v>
      </c>
      <c r="V116" s="12">
        <v>2</v>
      </c>
      <c r="W116" s="12">
        <v>2</v>
      </c>
      <c r="AD116" s="12">
        <v>91</v>
      </c>
      <c r="AE116" s="12">
        <v>31.21</v>
      </c>
      <c r="AF116" s="12">
        <v>31.21</v>
      </c>
    </row>
    <row r="117" spans="21:32" x14ac:dyDescent="0.3">
      <c r="U117" s="12">
        <v>92</v>
      </c>
      <c r="V117" s="12">
        <v>4</v>
      </c>
      <c r="W117" s="12">
        <v>4</v>
      </c>
      <c r="AD117" s="12">
        <v>92</v>
      </c>
      <c r="AE117" s="12">
        <v>31.43</v>
      </c>
      <c r="AF117" s="12">
        <v>31.43</v>
      </c>
    </row>
    <row r="118" spans="21:32" x14ac:dyDescent="0.3">
      <c r="U118" s="12">
        <v>93</v>
      </c>
      <c r="V118" s="12">
        <v>4</v>
      </c>
      <c r="W118" s="12">
        <v>4</v>
      </c>
      <c r="AD118" s="12">
        <v>93</v>
      </c>
      <c r="AE118" s="12">
        <v>30.25</v>
      </c>
      <c r="AF118" s="12">
        <v>30.25</v>
      </c>
    </row>
    <row r="119" spans="21:32" x14ac:dyDescent="0.3">
      <c r="U119" s="12">
        <v>94</v>
      </c>
      <c r="V119" s="12">
        <v>2</v>
      </c>
      <c r="W119" s="12">
        <v>2</v>
      </c>
      <c r="AD119" s="12">
        <v>94</v>
      </c>
      <c r="AE119" s="12">
        <v>30.97</v>
      </c>
      <c r="AF119" s="12">
        <v>30.97</v>
      </c>
    </row>
    <row r="120" spans="21:32" x14ac:dyDescent="0.3">
      <c r="U120" s="12">
        <v>95</v>
      </c>
      <c r="AD120" s="12">
        <v>95</v>
      </c>
    </row>
    <row r="121" spans="21:32" x14ac:dyDescent="0.3">
      <c r="U121" s="12">
        <v>96</v>
      </c>
      <c r="AD121" s="12">
        <v>96</v>
      </c>
    </row>
    <row r="122" spans="21:32" x14ac:dyDescent="0.3">
      <c r="U122" s="12">
        <v>97</v>
      </c>
      <c r="AD122" s="12">
        <v>97</v>
      </c>
    </row>
    <row r="123" spans="21:32" x14ac:dyDescent="0.3">
      <c r="U123" s="12">
        <v>98</v>
      </c>
      <c r="V123" s="12">
        <v>1</v>
      </c>
      <c r="W123" s="12">
        <v>1</v>
      </c>
      <c r="AD123" s="12">
        <v>98</v>
      </c>
      <c r="AE123" s="12">
        <v>33.1</v>
      </c>
      <c r="AF123" s="12">
        <v>33.1</v>
      </c>
    </row>
    <row r="124" spans="21:32" x14ac:dyDescent="0.3">
      <c r="U124" s="12">
        <v>99</v>
      </c>
      <c r="V124" s="12">
        <v>1</v>
      </c>
      <c r="W124" s="12">
        <v>1</v>
      </c>
      <c r="AD124" s="12">
        <v>99</v>
      </c>
      <c r="AE124" s="12">
        <v>29.36</v>
      </c>
      <c r="AF124" s="168">
        <v>29.36</v>
      </c>
    </row>
    <row r="125" spans="21:32" x14ac:dyDescent="0.3">
      <c r="U125" s="12">
        <v>100</v>
      </c>
      <c r="V125" s="12">
        <v>1</v>
      </c>
      <c r="W125" s="12">
        <v>1</v>
      </c>
      <c r="AD125" s="12">
        <v>100</v>
      </c>
      <c r="AE125" s="12">
        <v>27.72</v>
      </c>
      <c r="AF125" s="88">
        <v>27.72</v>
      </c>
    </row>
    <row r="126" spans="21:32" x14ac:dyDescent="0.3">
      <c r="U126" s="12">
        <v>101</v>
      </c>
      <c r="V126" s="12">
        <v>2</v>
      </c>
      <c r="W126" s="12">
        <v>2</v>
      </c>
      <c r="AD126" s="12">
        <v>101</v>
      </c>
      <c r="AE126" s="12">
        <v>33.090000000000003</v>
      </c>
      <c r="AF126" s="12">
        <v>33.090000000000003</v>
      </c>
    </row>
    <row r="127" spans="21:32" x14ac:dyDescent="0.3">
      <c r="U127" s="12">
        <v>102</v>
      </c>
      <c r="V127" s="12">
        <v>1</v>
      </c>
      <c r="W127" s="12">
        <v>1</v>
      </c>
      <c r="AD127" s="12">
        <v>102</v>
      </c>
      <c r="AE127" s="12">
        <v>44.05</v>
      </c>
      <c r="AF127" s="12">
        <v>44.05</v>
      </c>
    </row>
    <row r="128" spans="21:32" x14ac:dyDescent="0.3">
      <c r="U128" s="12">
        <v>103</v>
      </c>
      <c r="AD128" s="12">
        <v>103</v>
      </c>
    </row>
    <row r="129" spans="21:30" x14ac:dyDescent="0.3">
      <c r="U129" s="12">
        <v>104</v>
      </c>
      <c r="AD129" s="12">
        <v>104</v>
      </c>
    </row>
    <row r="130" spans="21:30" x14ac:dyDescent="0.3">
      <c r="U130" s="12">
        <v>105</v>
      </c>
      <c r="AD130" s="12">
        <v>105</v>
      </c>
    </row>
    <row r="131" spans="21:30" x14ac:dyDescent="0.3">
      <c r="U131" s="12">
        <v>106</v>
      </c>
      <c r="AD131" s="12">
        <v>106</v>
      </c>
    </row>
    <row r="132" spans="21:30" x14ac:dyDescent="0.3">
      <c r="U132" s="12">
        <v>107</v>
      </c>
      <c r="AD132" s="12">
        <v>107</v>
      </c>
    </row>
    <row r="133" spans="21:30" x14ac:dyDescent="0.3">
      <c r="U133" s="12">
        <v>108</v>
      </c>
      <c r="AD133" s="12">
        <v>108</v>
      </c>
    </row>
    <row r="134" spans="21:30" x14ac:dyDescent="0.3">
      <c r="U134" s="12">
        <v>109</v>
      </c>
      <c r="AD134" s="12">
        <v>109</v>
      </c>
    </row>
    <row r="135" spans="21:30" x14ac:dyDescent="0.3">
      <c r="U135" s="12">
        <v>110</v>
      </c>
      <c r="AD135" s="12">
        <v>110</v>
      </c>
    </row>
    <row r="136" spans="21:30" x14ac:dyDescent="0.3">
      <c r="U136" s="12">
        <v>111</v>
      </c>
      <c r="AD136" s="12">
        <v>111</v>
      </c>
    </row>
    <row r="137" spans="21:30" x14ac:dyDescent="0.3">
      <c r="U137" s="12">
        <v>112</v>
      </c>
      <c r="AD137" s="12">
        <v>112</v>
      </c>
    </row>
    <row r="138" spans="21:30" x14ac:dyDescent="0.3">
      <c r="U138" s="12">
        <v>113</v>
      </c>
      <c r="AD138" s="12">
        <v>113</v>
      </c>
    </row>
    <row r="139" spans="21:30" x14ac:dyDescent="0.3">
      <c r="U139" s="12">
        <v>114</v>
      </c>
      <c r="AD139" s="12">
        <v>114</v>
      </c>
    </row>
    <row r="140" spans="21:30" x14ac:dyDescent="0.3">
      <c r="U140" s="12">
        <v>115</v>
      </c>
      <c r="AD140" s="12">
        <v>115</v>
      </c>
    </row>
    <row r="141" spans="21:30" x14ac:dyDescent="0.3">
      <c r="U141" s="12">
        <v>116</v>
      </c>
      <c r="AD141" s="12">
        <v>116</v>
      </c>
    </row>
    <row r="142" spans="21:30" x14ac:dyDescent="0.3">
      <c r="U142" s="12">
        <v>117</v>
      </c>
      <c r="AD142" s="12">
        <v>117</v>
      </c>
    </row>
    <row r="143" spans="21:30" x14ac:dyDescent="0.3">
      <c r="U143" s="12">
        <v>118</v>
      </c>
      <c r="AD143" s="12">
        <v>118</v>
      </c>
    </row>
    <row r="144" spans="21:30" x14ac:dyDescent="0.3">
      <c r="U144" s="12">
        <v>119</v>
      </c>
      <c r="AD144" s="12">
        <v>119</v>
      </c>
    </row>
    <row r="145" spans="21:30" x14ac:dyDescent="0.3">
      <c r="U145" s="12">
        <v>120</v>
      </c>
      <c r="AD145" s="12">
        <v>120</v>
      </c>
    </row>
    <row r="146" spans="21:30" x14ac:dyDescent="0.3">
      <c r="U146" s="12">
        <v>121</v>
      </c>
      <c r="AD146" s="12">
        <v>121</v>
      </c>
    </row>
    <row r="147" spans="21:30" x14ac:dyDescent="0.3">
      <c r="U147" s="12">
        <v>122</v>
      </c>
      <c r="AD147" s="12">
        <v>122</v>
      </c>
    </row>
    <row r="148" spans="21:30" x14ac:dyDescent="0.3">
      <c r="U148" s="12">
        <v>123</v>
      </c>
      <c r="AD148" s="12">
        <v>123</v>
      </c>
    </row>
    <row r="149" spans="21:30" x14ac:dyDescent="0.3">
      <c r="U149" s="12">
        <v>124</v>
      </c>
      <c r="AD149" s="12">
        <v>124</v>
      </c>
    </row>
    <row r="150" spans="21:30" x14ac:dyDescent="0.3">
      <c r="U150" s="12">
        <v>125</v>
      </c>
      <c r="AD150" s="12">
        <v>125</v>
      </c>
    </row>
    <row r="151" spans="21:30" x14ac:dyDescent="0.3">
      <c r="U151" s="12">
        <v>126</v>
      </c>
      <c r="AD151" s="12">
        <v>126</v>
      </c>
    </row>
    <row r="152" spans="21:30" x14ac:dyDescent="0.3">
      <c r="U152" s="12">
        <v>127</v>
      </c>
      <c r="AD152" s="12">
        <v>127</v>
      </c>
    </row>
    <row r="153" spans="21:30" x14ac:dyDescent="0.3">
      <c r="U153" s="12">
        <v>128</v>
      </c>
      <c r="AD153" s="12">
        <v>128</v>
      </c>
    </row>
    <row r="154" spans="21:30" x14ac:dyDescent="0.3">
      <c r="U154" s="12">
        <v>129</v>
      </c>
      <c r="AD154" s="12">
        <v>129</v>
      </c>
    </row>
    <row r="155" spans="21:30" x14ac:dyDescent="0.3">
      <c r="U155" s="12">
        <v>130</v>
      </c>
      <c r="AD155" s="12">
        <v>130</v>
      </c>
    </row>
    <row r="156" spans="21:30" hidden="1" x14ac:dyDescent="0.3">
      <c r="U156" s="12">
        <v>131</v>
      </c>
      <c r="AD156" s="12">
        <v>131</v>
      </c>
    </row>
    <row r="157" spans="21:30" hidden="1" x14ac:dyDescent="0.3">
      <c r="U157" s="12">
        <v>132</v>
      </c>
      <c r="AD157" s="12">
        <v>132</v>
      </c>
    </row>
    <row r="158" spans="21:30" hidden="1" x14ac:dyDescent="0.3">
      <c r="U158" s="12">
        <v>133</v>
      </c>
      <c r="AD158" s="12">
        <v>133</v>
      </c>
    </row>
    <row r="159" spans="21:30" hidden="1" x14ac:dyDescent="0.3">
      <c r="U159" s="12">
        <v>134</v>
      </c>
      <c r="AD159" s="12">
        <v>134</v>
      </c>
    </row>
    <row r="160" spans="21:30" hidden="1" x14ac:dyDescent="0.3">
      <c r="U160" s="12">
        <v>135</v>
      </c>
      <c r="AD160" s="12">
        <v>135</v>
      </c>
    </row>
    <row r="161" spans="21:30" hidden="1" x14ac:dyDescent="0.3">
      <c r="U161" s="12">
        <v>136</v>
      </c>
      <c r="AD161" s="12">
        <v>136</v>
      </c>
    </row>
    <row r="162" spans="21:30" hidden="1" x14ac:dyDescent="0.3">
      <c r="U162" s="12">
        <v>137</v>
      </c>
      <c r="AD162" s="12">
        <v>137</v>
      </c>
    </row>
    <row r="163" spans="21:30" hidden="1" x14ac:dyDescent="0.3">
      <c r="U163" s="12">
        <v>138</v>
      </c>
      <c r="AD163" s="12">
        <v>138</v>
      </c>
    </row>
    <row r="164" spans="21:30" hidden="1" x14ac:dyDescent="0.3">
      <c r="U164" s="12">
        <v>139</v>
      </c>
      <c r="AD164" s="12">
        <v>139</v>
      </c>
    </row>
    <row r="165" spans="21:30" hidden="1" x14ac:dyDescent="0.3">
      <c r="U165" s="12">
        <v>140</v>
      </c>
      <c r="AD165" s="12">
        <v>140</v>
      </c>
    </row>
    <row r="166" spans="21:30" hidden="1" x14ac:dyDescent="0.3">
      <c r="U166" s="12">
        <v>141</v>
      </c>
      <c r="AD166" s="12">
        <v>141</v>
      </c>
    </row>
    <row r="167" spans="21:30" hidden="1" x14ac:dyDescent="0.3">
      <c r="U167" s="12">
        <v>142</v>
      </c>
      <c r="AD167" s="12">
        <v>142</v>
      </c>
    </row>
    <row r="168" spans="21:30" hidden="1" x14ac:dyDescent="0.3"/>
    <row r="169" spans="21:30" hidden="1" x14ac:dyDescent="0.3"/>
    <row r="170" spans="21:30" hidden="1" x14ac:dyDescent="0.3"/>
    <row r="171" spans="21:30" hidden="1" x14ac:dyDescent="0.3"/>
    <row r="172" spans="21:30" hidden="1" x14ac:dyDescent="0.3"/>
    <row r="173" spans="21:30" hidden="1" x14ac:dyDescent="0.3"/>
    <row r="174" spans="21:30" hidden="1" x14ac:dyDescent="0.3"/>
    <row r="175" spans="21:30" hidden="1" x14ac:dyDescent="0.3"/>
    <row r="176" spans="21:30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spans="21:30" hidden="1" x14ac:dyDescent="0.3"/>
    <row r="242" spans="21:30" x14ac:dyDescent="0.3">
      <c r="U242" s="12">
        <v>100</v>
      </c>
      <c r="AD242" s="12">
        <v>100</v>
      </c>
    </row>
    <row r="243" spans="21:30" x14ac:dyDescent="0.3">
      <c r="U243" s="12">
        <v>101</v>
      </c>
      <c r="AD243" s="12">
        <v>101</v>
      </c>
    </row>
    <row r="244" spans="21:30" x14ac:dyDescent="0.3">
      <c r="U244" s="12">
        <v>102</v>
      </c>
      <c r="AD244" s="12">
        <v>102</v>
      </c>
    </row>
    <row r="245" spans="21:30" x14ac:dyDescent="0.3">
      <c r="U245" s="12">
        <v>103</v>
      </c>
      <c r="AD245" s="12">
        <v>103</v>
      </c>
    </row>
    <row r="246" spans="21:30" x14ac:dyDescent="0.3">
      <c r="U246" s="12">
        <v>104</v>
      </c>
      <c r="AD246" s="12">
        <v>104</v>
      </c>
    </row>
    <row r="247" spans="21:30" x14ac:dyDescent="0.3">
      <c r="U247" s="12">
        <v>105</v>
      </c>
      <c r="AD247" s="12">
        <v>105</v>
      </c>
    </row>
    <row r="248" spans="21:30" x14ac:dyDescent="0.3">
      <c r="U248" s="12">
        <v>106</v>
      </c>
      <c r="AD248" s="12">
        <v>106</v>
      </c>
    </row>
    <row r="249" spans="21:30" x14ac:dyDescent="0.3">
      <c r="U249" s="12">
        <v>107</v>
      </c>
      <c r="AD249" s="12">
        <v>107</v>
      </c>
    </row>
    <row r="250" spans="21:30" x14ac:dyDescent="0.3">
      <c r="U250" s="12">
        <v>108</v>
      </c>
      <c r="AD250" s="12">
        <v>108</v>
      </c>
    </row>
    <row r="251" spans="21:30" x14ac:dyDescent="0.3">
      <c r="U251" s="12">
        <v>109</v>
      </c>
      <c r="AD251" s="12">
        <v>109</v>
      </c>
    </row>
    <row r="252" spans="21:30" x14ac:dyDescent="0.3">
      <c r="U252" s="12">
        <v>110</v>
      </c>
      <c r="AD252" s="12">
        <v>110</v>
      </c>
    </row>
    <row r="253" spans="21:30" x14ac:dyDescent="0.3">
      <c r="U253" s="12">
        <v>111</v>
      </c>
      <c r="AD253" s="12">
        <v>111</v>
      </c>
    </row>
    <row r="254" spans="21:30" x14ac:dyDescent="0.3">
      <c r="U254" s="12">
        <v>112</v>
      </c>
      <c r="AD254" s="12">
        <v>112</v>
      </c>
    </row>
    <row r="255" spans="21:30" x14ac:dyDescent="0.3">
      <c r="U255" s="12">
        <v>113</v>
      </c>
      <c r="AD255" s="12">
        <v>113</v>
      </c>
    </row>
    <row r="256" spans="21:30" x14ac:dyDescent="0.3">
      <c r="U256" s="12">
        <v>114</v>
      </c>
      <c r="AD256" s="12">
        <v>114</v>
      </c>
    </row>
    <row r="257" spans="21:32" x14ac:dyDescent="0.3">
      <c r="U257" s="12">
        <v>115</v>
      </c>
      <c r="AD257" s="12">
        <v>115</v>
      </c>
    </row>
    <row r="258" spans="21:32" x14ac:dyDescent="0.3">
      <c r="U258" s="12">
        <v>116</v>
      </c>
      <c r="AD258" s="12">
        <v>116</v>
      </c>
    </row>
    <row r="259" spans="21:32" x14ac:dyDescent="0.3">
      <c r="U259" s="12">
        <v>117</v>
      </c>
      <c r="AD259" s="12">
        <v>117</v>
      </c>
    </row>
    <row r="260" spans="21:32" x14ac:dyDescent="0.3">
      <c r="U260" s="12">
        <v>118</v>
      </c>
      <c r="AD260" s="12">
        <v>118</v>
      </c>
    </row>
    <row r="261" spans="21:32" x14ac:dyDescent="0.3">
      <c r="U261" s="12">
        <v>119</v>
      </c>
      <c r="V261" s="12">
        <v>1</v>
      </c>
      <c r="W261" s="12">
        <v>1</v>
      </c>
      <c r="AD261" s="12">
        <v>119</v>
      </c>
      <c r="AE261" s="12">
        <v>60.31</v>
      </c>
      <c r="AF261" s="82">
        <v>60.31</v>
      </c>
    </row>
    <row r="262" spans="21:32" x14ac:dyDescent="0.3">
      <c r="U262" s="12">
        <v>120</v>
      </c>
      <c r="AD262" s="12">
        <v>120</v>
      </c>
    </row>
    <row r="263" spans="21:32" x14ac:dyDescent="0.3">
      <c r="U263" s="12">
        <v>121</v>
      </c>
      <c r="AD263" s="12">
        <v>121</v>
      </c>
    </row>
    <row r="264" spans="21:32" x14ac:dyDescent="0.3">
      <c r="U264" s="12">
        <v>122</v>
      </c>
      <c r="V264" s="12">
        <v>1</v>
      </c>
      <c r="W264" s="12">
        <v>1</v>
      </c>
      <c r="AD264" s="12">
        <v>122</v>
      </c>
      <c r="AE264" s="12">
        <v>63.64</v>
      </c>
      <c r="AF264" s="171">
        <v>63.64</v>
      </c>
    </row>
    <row r="265" spans="21:32" x14ac:dyDescent="0.3">
      <c r="U265" s="12">
        <v>123</v>
      </c>
      <c r="V265" s="12">
        <v>1</v>
      </c>
      <c r="W265" s="12">
        <v>1</v>
      </c>
      <c r="AD265" s="12">
        <v>123</v>
      </c>
      <c r="AE265" s="12">
        <v>58.97</v>
      </c>
      <c r="AF265" s="16">
        <v>58.97</v>
      </c>
    </row>
    <row r="266" spans="21:32" x14ac:dyDescent="0.3">
      <c r="U266" s="12">
        <v>124</v>
      </c>
      <c r="AD266" s="12">
        <v>124</v>
      </c>
    </row>
    <row r="267" spans="21:32" x14ac:dyDescent="0.3">
      <c r="U267" s="12">
        <v>125</v>
      </c>
      <c r="AD267" s="12">
        <v>125</v>
      </c>
    </row>
    <row r="268" spans="21:32" x14ac:dyDescent="0.3">
      <c r="U268" s="12">
        <v>126</v>
      </c>
      <c r="AD268" s="12">
        <v>126</v>
      </c>
      <c r="AF268" s="88"/>
    </row>
    <row r="269" spans="21:32" x14ac:dyDescent="0.3">
      <c r="U269" s="12">
        <v>127</v>
      </c>
      <c r="V269" s="12">
        <v>1</v>
      </c>
      <c r="W269" s="12">
        <v>1</v>
      </c>
      <c r="AD269" s="12">
        <v>127</v>
      </c>
      <c r="AE269" s="12">
        <v>65.77</v>
      </c>
      <c r="AF269" s="84">
        <v>65.77</v>
      </c>
    </row>
    <row r="270" spans="21:32" x14ac:dyDescent="0.3">
      <c r="U270" s="12">
        <v>128</v>
      </c>
      <c r="V270" s="12">
        <v>2</v>
      </c>
      <c r="W270" s="12">
        <v>2</v>
      </c>
      <c r="AD270" s="12">
        <v>128</v>
      </c>
      <c r="AE270" s="12">
        <v>61.19</v>
      </c>
      <c r="AF270" s="82">
        <v>61.19</v>
      </c>
    </row>
    <row r="271" spans="21:32" x14ac:dyDescent="0.3">
      <c r="U271" s="12">
        <v>129</v>
      </c>
      <c r="AD271" s="12">
        <v>129</v>
      </c>
    </row>
    <row r="272" spans="21:32" x14ac:dyDescent="0.3">
      <c r="U272" s="12">
        <v>130</v>
      </c>
      <c r="AD272" s="12">
        <v>130</v>
      </c>
    </row>
    <row r="273" spans="21:32" x14ac:dyDescent="0.3">
      <c r="U273" s="12">
        <v>131</v>
      </c>
      <c r="V273" s="12">
        <v>2</v>
      </c>
      <c r="W273" s="12">
        <v>2</v>
      </c>
      <c r="AD273" s="12">
        <v>131</v>
      </c>
      <c r="AE273" s="12">
        <v>64.42</v>
      </c>
      <c r="AF273" s="171">
        <v>64.42</v>
      </c>
    </row>
    <row r="274" spans="21:32" x14ac:dyDescent="0.3">
      <c r="U274" s="12">
        <v>132</v>
      </c>
      <c r="V274" s="12">
        <v>1</v>
      </c>
      <c r="W274" s="12">
        <v>1</v>
      </c>
      <c r="AD274" s="12">
        <v>132</v>
      </c>
      <c r="AE274" s="12">
        <v>70.13</v>
      </c>
      <c r="AF274" s="86">
        <v>70.13</v>
      </c>
    </row>
    <row r="275" spans="21:32" x14ac:dyDescent="0.3">
      <c r="U275" s="12">
        <v>133</v>
      </c>
      <c r="AD275" s="12">
        <v>133</v>
      </c>
    </row>
    <row r="276" spans="21:32" x14ac:dyDescent="0.3">
      <c r="U276" s="12">
        <v>134</v>
      </c>
      <c r="V276" s="12">
        <v>1</v>
      </c>
      <c r="W276" s="12">
        <v>1</v>
      </c>
      <c r="AD276" s="12">
        <v>134</v>
      </c>
      <c r="AE276" s="12">
        <v>64.790000000000006</v>
      </c>
      <c r="AF276" s="171">
        <v>64.790000000000006</v>
      </c>
    </row>
    <row r="277" spans="21:32" x14ac:dyDescent="0.3">
      <c r="U277" s="12">
        <v>135</v>
      </c>
      <c r="V277" s="12">
        <v>1</v>
      </c>
      <c r="W277" s="12">
        <v>1</v>
      </c>
      <c r="AD277" s="12">
        <v>135</v>
      </c>
      <c r="AE277" s="12">
        <v>65.959999999999994</v>
      </c>
      <c r="AF277" s="84">
        <v>65.959999999999994</v>
      </c>
    </row>
    <row r="278" spans="21:32" x14ac:dyDescent="0.3">
      <c r="U278" s="12">
        <v>136</v>
      </c>
      <c r="V278" s="12">
        <v>2</v>
      </c>
      <c r="W278" s="12">
        <v>2</v>
      </c>
      <c r="AD278" s="12">
        <v>136</v>
      </c>
      <c r="AE278" s="12">
        <v>66.680000000000007</v>
      </c>
      <c r="AF278" s="84">
        <v>66.680000000000007</v>
      </c>
    </row>
    <row r="279" spans="21:32" x14ac:dyDescent="0.3">
      <c r="U279" s="12">
        <v>137</v>
      </c>
      <c r="V279" s="12">
        <v>2</v>
      </c>
      <c r="W279" s="12">
        <v>2</v>
      </c>
      <c r="AD279" s="12">
        <v>137</v>
      </c>
      <c r="AE279" s="12">
        <v>60.89</v>
      </c>
      <c r="AF279" s="82">
        <v>60.89</v>
      </c>
    </row>
    <row r="280" spans="21:32" x14ac:dyDescent="0.3">
      <c r="U280" s="12">
        <v>138</v>
      </c>
      <c r="V280" s="12">
        <v>2</v>
      </c>
      <c r="W280" s="12">
        <v>2</v>
      </c>
      <c r="AD280" s="12">
        <v>138</v>
      </c>
      <c r="AE280" s="12">
        <v>65.42</v>
      </c>
      <c r="AF280" s="84">
        <v>65.42</v>
      </c>
    </row>
    <row r="281" spans="21:32" x14ac:dyDescent="0.3">
      <c r="U281" s="12">
        <v>139</v>
      </c>
      <c r="V281" s="12">
        <v>5</v>
      </c>
      <c r="W281" s="12">
        <v>5</v>
      </c>
      <c r="AD281" s="12">
        <v>139</v>
      </c>
      <c r="AE281" s="12">
        <v>65.59</v>
      </c>
      <c r="AF281" s="84">
        <v>65.59</v>
      </c>
    </row>
    <row r="282" spans="21:32" x14ac:dyDescent="0.3">
      <c r="U282" s="12">
        <v>140</v>
      </c>
      <c r="V282" s="12">
        <v>4</v>
      </c>
      <c r="W282" s="12">
        <v>4</v>
      </c>
      <c r="AD282" s="12">
        <v>140</v>
      </c>
      <c r="AE282" s="12">
        <v>66.31</v>
      </c>
      <c r="AF282" s="84">
        <v>66.31</v>
      </c>
    </row>
    <row r="283" spans="21:32" x14ac:dyDescent="0.3">
      <c r="U283" s="12">
        <v>141</v>
      </c>
      <c r="V283" s="12">
        <v>1</v>
      </c>
      <c r="W283" s="12">
        <v>1</v>
      </c>
      <c r="AD283" s="12">
        <v>141</v>
      </c>
      <c r="AE283" s="12">
        <v>68.13</v>
      </c>
      <c r="AF283" s="85">
        <v>68.13</v>
      </c>
    </row>
    <row r="284" spans="21:32" x14ac:dyDescent="0.3">
      <c r="U284" s="12">
        <v>142</v>
      </c>
      <c r="V284" s="12">
        <v>2</v>
      </c>
      <c r="W284" s="12">
        <v>2</v>
      </c>
      <c r="AD284" s="12">
        <v>142</v>
      </c>
      <c r="AE284" s="12">
        <v>74.66</v>
      </c>
      <c r="AF284" s="86">
        <v>74.66</v>
      </c>
    </row>
    <row r="285" spans="21:32" x14ac:dyDescent="0.3">
      <c r="U285" s="12">
        <v>143</v>
      </c>
      <c r="V285" s="12">
        <v>3</v>
      </c>
      <c r="W285" s="12">
        <v>3</v>
      </c>
      <c r="AD285" s="12">
        <v>143</v>
      </c>
      <c r="AE285" s="12">
        <v>64.53</v>
      </c>
      <c r="AF285" s="171">
        <v>64.53</v>
      </c>
    </row>
    <row r="286" spans="21:32" x14ac:dyDescent="0.3">
      <c r="U286" s="12">
        <v>144</v>
      </c>
      <c r="V286" s="12">
        <v>8</v>
      </c>
      <c r="W286" s="12">
        <v>8</v>
      </c>
      <c r="AD286" s="12">
        <v>144</v>
      </c>
      <c r="AE286" s="12">
        <v>66.349999999999994</v>
      </c>
      <c r="AF286" s="84">
        <v>66.349999999999994</v>
      </c>
    </row>
    <row r="287" spans="21:32" x14ac:dyDescent="0.3">
      <c r="U287" s="12">
        <v>145</v>
      </c>
      <c r="V287" s="12">
        <v>6</v>
      </c>
      <c r="W287" s="12">
        <v>6</v>
      </c>
      <c r="AD287" s="12">
        <v>145</v>
      </c>
      <c r="AE287" s="12">
        <v>66.06</v>
      </c>
      <c r="AF287" s="84">
        <v>66.06</v>
      </c>
    </row>
    <row r="288" spans="21:32" x14ac:dyDescent="0.3">
      <c r="U288" s="12">
        <v>146</v>
      </c>
      <c r="V288" s="12">
        <v>5</v>
      </c>
      <c r="W288" s="12">
        <v>5</v>
      </c>
      <c r="AD288" s="12">
        <v>146</v>
      </c>
      <c r="AE288" s="12">
        <v>68.66</v>
      </c>
      <c r="AF288" s="85">
        <v>68.66</v>
      </c>
    </row>
    <row r="289" spans="21:32" x14ac:dyDescent="0.3">
      <c r="U289" s="12">
        <v>147</v>
      </c>
      <c r="V289" s="12">
        <v>9</v>
      </c>
      <c r="W289" s="12">
        <v>9</v>
      </c>
      <c r="AD289" s="12">
        <v>147</v>
      </c>
      <c r="AE289" s="12">
        <v>66.86</v>
      </c>
      <c r="AF289" s="84">
        <v>66.86</v>
      </c>
    </row>
    <row r="290" spans="21:32" x14ac:dyDescent="0.3">
      <c r="U290" s="12">
        <v>148</v>
      </c>
      <c r="V290" s="12">
        <v>9</v>
      </c>
      <c r="W290" s="12">
        <v>9</v>
      </c>
      <c r="AD290" s="12">
        <v>148</v>
      </c>
      <c r="AE290" s="12">
        <v>65.64</v>
      </c>
      <c r="AF290" s="84">
        <v>65.64</v>
      </c>
    </row>
    <row r="291" spans="21:32" x14ac:dyDescent="0.3">
      <c r="U291" s="12">
        <v>149</v>
      </c>
      <c r="V291" s="12">
        <v>6</v>
      </c>
      <c r="W291" s="12">
        <v>6</v>
      </c>
      <c r="AD291" s="12">
        <v>149</v>
      </c>
      <c r="AE291" s="12">
        <v>68.89</v>
      </c>
      <c r="AF291" s="85">
        <v>68.89</v>
      </c>
    </row>
    <row r="292" spans="21:32" x14ac:dyDescent="0.3">
      <c r="U292" s="12">
        <v>150</v>
      </c>
      <c r="V292" s="12">
        <v>5</v>
      </c>
      <c r="W292" s="12">
        <v>5</v>
      </c>
      <c r="AD292" s="12">
        <v>150</v>
      </c>
      <c r="AE292" s="12">
        <v>70.12</v>
      </c>
      <c r="AF292" s="86">
        <v>70.12</v>
      </c>
    </row>
    <row r="293" spans="21:32" x14ac:dyDescent="0.3">
      <c r="U293" s="12">
        <v>151</v>
      </c>
      <c r="V293" s="12">
        <v>8</v>
      </c>
      <c r="W293" s="12">
        <v>8</v>
      </c>
      <c r="AD293" s="12">
        <v>151</v>
      </c>
      <c r="AE293" s="12">
        <v>68.41</v>
      </c>
      <c r="AF293" s="85">
        <v>68.41</v>
      </c>
    </row>
    <row r="294" spans="21:32" x14ac:dyDescent="0.3">
      <c r="U294" s="12">
        <v>152</v>
      </c>
      <c r="V294" s="12">
        <v>10</v>
      </c>
      <c r="W294" s="12">
        <v>10</v>
      </c>
      <c r="AD294" s="12">
        <v>152</v>
      </c>
      <c r="AE294" s="12">
        <v>67.89</v>
      </c>
      <c r="AF294" s="85">
        <v>67.89</v>
      </c>
    </row>
    <row r="295" spans="21:32" x14ac:dyDescent="0.3">
      <c r="U295" s="12">
        <v>153</v>
      </c>
      <c r="V295" s="12">
        <v>9</v>
      </c>
      <c r="W295" s="12">
        <v>9</v>
      </c>
      <c r="AD295" s="12">
        <v>153</v>
      </c>
      <c r="AE295" s="12">
        <v>69.180000000000007</v>
      </c>
      <c r="AF295" s="85">
        <v>69.180000000000007</v>
      </c>
    </row>
    <row r="296" spans="21:32" x14ac:dyDescent="0.3">
      <c r="U296" s="12">
        <v>154</v>
      </c>
      <c r="V296" s="12">
        <v>6</v>
      </c>
      <c r="W296" s="12">
        <v>6</v>
      </c>
      <c r="AD296" s="12">
        <v>154</v>
      </c>
      <c r="AE296" s="12">
        <v>70.72</v>
      </c>
      <c r="AF296" s="86">
        <v>70.72</v>
      </c>
    </row>
    <row r="297" spans="21:32" x14ac:dyDescent="0.3">
      <c r="U297" s="12">
        <v>155</v>
      </c>
      <c r="V297" s="12">
        <v>11</v>
      </c>
      <c r="W297" s="12">
        <v>11</v>
      </c>
      <c r="AD297" s="12">
        <v>155</v>
      </c>
      <c r="AE297" s="12">
        <v>68.97</v>
      </c>
      <c r="AF297" s="85">
        <v>68.97</v>
      </c>
    </row>
    <row r="298" spans="21:32" x14ac:dyDescent="0.3">
      <c r="U298" s="12">
        <v>156</v>
      </c>
      <c r="V298" s="12">
        <v>10</v>
      </c>
      <c r="W298" s="12">
        <v>10</v>
      </c>
      <c r="AD298" s="12">
        <v>156</v>
      </c>
      <c r="AE298" s="12">
        <v>75.11</v>
      </c>
      <c r="AF298" s="87">
        <v>75.11</v>
      </c>
    </row>
    <row r="299" spans="21:32" x14ac:dyDescent="0.3">
      <c r="U299" s="12">
        <v>157</v>
      </c>
      <c r="V299" s="12">
        <v>16</v>
      </c>
      <c r="W299" s="12">
        <v>16</v>
      </c>
      <c r="AD299" s="12">
        <v>157</v>
      </c>
      <c r="AE299" s="12">
        <v>71.459999999999994</v>
      </c>
      <c r="AF299" s="86">
        <v>71.459999999999994</v>
      </c>
    </row>
    <row r="300" spans="21:32" x14ac:dyDescent="0.3">
      <c r="U300" s="12">
        <v>158</v>
      </c>
      <c r="V300" s="12">
        <v>9</v>
      </c>
      <c r="W300" s="12">
        <v>9</v>
      </c>
      <c r="AD300" s="12">
        <v>158</v>
      </c>
      <c r="AE300" s="12">
        <v>72.92</v>
      </c>
      <c r="AF300" s="86">
        <v>72.92</v>
      </c>
    </row>
    <row r="301" spans="21:32" x14ac:dyDescent="0.3">
      <c r="U301" s="12">
        <v>159</v>
      </c>
      <c r="V301" s="12">
        <v>14</v>
      </c>
      <c r="W301" s="12">
        <v>14</v>
      </c>
      <c r="AD301" s="12">
        <v>159</v>
      </c>
      <c r="AE301" s="12">
        <v>68.14</v>
      </c>
      <c r="AF301" s="85">
        <v>68.14</v>
      </c>
    </row>
    <row r="302" spans="21:32" x14ac:dyDescent="0.3">
      <c r="U302" s="12">
        <v>160</v>
      </c>
      <c r="V302" s="12">
        <v>10</v>
      </c>
      <c r="W302" s="12">
        <v>10</v>
      </c>
      <c r="AD302" s="12">
        <v>160</v>
      </c>
      <c r="AE302" s="12">
        <v>70.45</v>
      </c>
      <c r="AF302" s="86">
        <v>70.45</v>
      </c>
    </row>
    <row r="303" spans="21:32" x14ac:dyDescent="0.3">
      <c r="U303" s="12">
        <v>161</v>
      </c>
      <c r="V303" s="12">
        <v>7</v>
      </c>
      <c r="W303" s="12">
        <v>7</v>
      </c>
      <c r="AD303" s="12">
        <v>161</v>
      </c>
      <c r="AE303" s="12">
        <v>68.16</v>
      </c>
      <c r="AF303" s="85">
        <v>68.16</v>
      </c>
    </row>
    <row r="304" spans="21:32" x14ac:dyDescent="0.3">
      <c r="U304" s="12">
        <v>162</v>
      </c>
      <c r="V304" s="12">
        <v>12</v>
      </c>
      <c r="W304" s="12">
        <v>12</v>
      </c>
      <c r="AD304" s="12">
        <v>162</v>
      </c>
      <c r="AE304" s="12">
        <v>71.150000000000006</v>
      </c>
      <c r="AF304" s="86">
        <v>71.150000000000006</v>
      </c>
    </row>
    <row r="305" spans="21:32" x14ac:dyDescent="0.3">
      <c r="U305" s="12">
        <v>163</v>
      </c>
      <c r="V305" s="12">
        <v>7</v>
      </c>
      <c r="W305" s="12">
        <v>7</v>
      </c>
      <c r="AD305" s="12">
        <v>163</v>
      </c>
      <c r="AE305" s="12">
        <v>71.56</v>
      </c>
      <c r="AF305" s="86">
        <v>71.56</v>
      </c>
    </row>
    <row r="306" spans="21:32" x14ac:dyDescent="0.3">
      <c r="U306" s="12">
        <v>164</v>
      </c>
      <c r="V306" s="12">
        <v>13</v>
      </c>
      <c r="W306" s="12">
        <v>13</v>
      </c>
      <c r="AD306" s="12">
        <v>164</v>
      </c>
      <c r="AE306" s="12">
        <v>71.63</v>
      </c>
      <c r="AF306" s="86">
        <v>71.63</v>
      </c>
    </row>
    <row r="307" spans="21:32" x14ac:dyDescent="0.3">
      <c r="U307" s="12">
        <v>165</v>
      </c>
      <c r="V307" s="12">
        <v>6</v>
      </c>
      <c r="W307" s="12">
        <v>6</v>
      </c>
      <c r="AD307" s="12">
        <v>165</v>
      </c>
      <c r="AE307" s="12">
        <v>67.67</v>
      </c>
      <c r="AF307" s="85">
        <v>67.67</v>
      </c>
    </row>
    <row r="308" spans="21:32" x14ac:dyDescent="0.3">
      <c r="U308" s="12">
        <v>166</v>
      </c>
      <c r="V308" s="12">
        <v>11</v>
      </c>
      <c r="W308" s="12">
        <v>11</v>
      </c>
      <c r="AD308" s="12">
        <v>166</v>
      </c>
      <c r="AE308" s="12">
        <v>72.7</v>
      </c>
      <c r="AF308" s="86">
        <v>72.7</v>
      </c>
    </row>
    <row r="309" spans="21:32" x14ac:dyDescent="0.3">
      <c r="U309" s="12">
        <v>167</v>
      </c>
      <c r="V309" s="12">
        <v>17</v>
      </c>
      <c r="W309" s="12">
        <v>17</v>
      </c>
      <c r="AD309" s="12">
        <v>167</v>
      </c>
      <c r="AE309" s="12">
        <v>72.06</v>
      </c>
      <c r="AF309" s="86">
        <v>72.06</v>
      </c>
    </row>
    <row r="310" spans="21:32" x14ac:dyDescent="0.3">
      <c r="U310" s="12">
        <v>168</v>
      </c>
      <c r="V310" s="12">
        <v>12</v>
      </c>
      <c r="W310" s="12">
        <v>12</v>
      </c>
      <c r="AD310" s="12">
        <v>168</v>
      </c>
      <c r="AE310" s="12">
        <v>71.5</v>
      </c>
      <c r="AF310" s="86">
        <v>71.5</v>
      </c>
    </row>
    <row r="311" spans="21:32" x14ac:dyDescent="0.3">
      <c r="U311" s="12">
        <v>169</v>
      </c>
      <c r="V311" s="12">
        <v>10</v>
      </c>
      <c r="W311" s="12">
        <v>10</v>
      </c>
      <c r="AD311" s="12">
        <v>169</v>
      </c>
      <c r="AE311" s="12">
        <v>72.36</v>
      </c>
      <c r="AF311" s="86">
        <v>72.36</v>
      </c>
    </row>
    <row r="312" spans="21:32" x14ac:dyDescent="0.3">
      <c r="U312" s="12">
        <v>170</v>
      </c>
      <c r="V312" s="12">
        <v>10</v>
      </c>
      <c r="W312" s="12">
        <v>10</v>
      </c>
      <c r="AD312" s="12">
        <v>170</v>
      </c>
      <c r="AE312" s="12">
        <v>69.97</v>
      </c>
      <c r="AF312" s="85">
        <v>69.97</v>
      </c>
    </row>
    <row r="313" spans="21:32" x14ac:dyDescent="0.3">
      <c r="U313" s="12">
        <v>171</v>
      </c>
      <c r="V313" s="12">
        <v>9</v>
      </c>
      <c r="W313" s="12">
        <v>9</v>
      </c>
      <c r="AD313" s="12">
        <v>171</v>
      </c>
      <c r="AE313" s="12">
        <v>70.069999999999993</v>
      </c>
      <c r="AF313" s="86">
        <v>70.069999999999993</v>
      </c>
    </row>
    <row r="314" spans="21:32" x14ac:dyDescent="0.3">
      <c r="U314" s="12">
        <v>172</v>
      </c>
      <c r="V314" s="12">
        <v>10</v>
      </c>
      <c r="W314" s="12">
        <v>10</v>
      </c>
      <c r="AD314" s="12">
        <v>172</v>
      </c>
      <c r="AE314" s="12">
        <v>71.13</v>
      </c>
      <c r="AF314" s="86">
        <v>71.13</v>
      </c>
    </row>
    <row r="315" spans="21:32" x14ac:dyDescent="0.3">
      <c r="U315" s="12">
        <v>173</v>
      </c>
      <c r="V315" s="12">
        <v>14</v>
      </c>
      <c r="W315" s="12">
        <v>14</v>
      </c>
      <c r="AD315" s="12">
        <v>173</v>
      </c>
      <c r="AE315" s="12">
        <v>72.36</v>
      </c>
      <c r="AF315" s="86">
        <v>72.36</v>
      </c>
    </row>
    <row r="316" spans="21:32" x14ac:dyDescent="0.3">
      <c r="U316" s="12">
        <v>174</v>
      </c>
      <c r="V316" s="12">
        <v>17</v>
      </c>
      <c r="W316" s="12">
        <v>17</v>
      </c>
      <c r="AD316" s="12">
        <v>174</v>
      </c>
      <c r="AE316" s="12">
        <v>73.290000000000006</v>
      </c>
      <c r="AF316" s="86">
        <v>73.290000000000006</v>
      </c>
    </row>
    <row r="317" spans="21:32" x14ac:dyDescent="0.3">
      <c r="U317" s="12">
        <v>175</v>
      </c>
      <c r="V317" s="12">
        <v>13</v>
      </c>
      <c r="W317" s="12">
        <v>13</v>
      </c>
      <c r="AD317" s="12">
        <v>175</v>
      </c>
      <c r="AE317" s="12">
        <v>72.52</v>
      </c>
      <c r="AF317" s="86">
        <v>72.52</v>
      </c>
    </row>
    <row r="318" spans="21:32" x14ac:dyDescent="0.3">
      <c r="U318" s="12">
        <v>176</v>
      </c>
      <c r="V318" s="12">
        <v>9</v>
      </c>
      <c r="W318" s="12">
        <v>9</v>
      </c>
      <c r="AD318" s="12">
        <v>176</v>
      </c>
      <c r="AE318" s="12">
        <v>72.08</v>
      </c>
      <c r="AF318" s="86">
        <v>72.08</v>
      </c>
    </row>
    <row r="319" spans="21:32" x14ac:dyDescent="0.3">
      <c r="U319" s="12">
        <v>177</v>
      </c>
      <c r="V319" s="12">
        <v>20</v>
      </c>
      <c r="W319" s="12">
        <v>20</v>
      </c>
      <c r="AD319" s="12">
        <v>177</v>
      </c>
      <c r="AE319" s="12">
        <v>73.5</v>
      </c>
      <c r="AF319" s="86">
        <v>73.5</v>
      </c>
    </row>
    <row r="320" spans="21:32" x14ac:dyDescent="0.3">
      <c r="U320" s="12">
        <v>178</v>
      </c>
      <c r="V320" s="12">
        <v>14</v>
      </c>
      <c r="W320" s="12">
        <v>14</v>
      </c>
      <c r="AD320" s="12">
        <v>178</v>
      </c>
      <c r="AE320" s="12">
        <v>74.09</v>
      </c>
      <c r="AF320" s="86">
        <v>74.09</v>
      </c>
    </row>
    <row r="321" spans="21:32" x14ac:dyDescent="0.3">
      <c r="U321" s="12">
        <v>179</v>
      </c>
      <c r="V321" s="12">
        <v>13</v>
      </c>
      <c r="W321" s="12">
        <v>13</v>
      </c>
      <c r="AD321" s="12">
        <v>179</v>
      </c>
      <c r="AE321" s="12">
        <v>75.16</v>
      </c>
      <c r="AF321" s="87">
        <v>75.16</v>
      </c>
    </row>
    <row r="322" spans="21:32" x14ac:dyDescent="0.3">
      <c r="U322" s="12">
        <v>180</v>
      </c>
      <c r="V322" s="12">
        <v>10</v>
      </c>
      <c r="W322" s="12">
        <v>10</v>
      </c>
      <c r="AD322" s="12">
        <v>180</v>
      </c>
      <c r="AE322" s="12">
        <v>76.2</v>
      </c>
      <c r="AF322" s="87">
        <v>76.2</v>
      </c>
    </row>
    <row r="323" spans="21:32" x14ac:dyDescent="0.3">
      <c r="U323" s="12">
        <v>181</v>
      </c>
      <c r="V323" s="12">
        <v>7</v>
      </c>
      <c r="W323" s="12">
        <v>7</v>
      </c>
      <c r="AD323" s="12">
        <v>181</v>
      </c>
      <c r="AE323" s="12">
        <v>71.849999999999994</v>
      </c>
      <c r="AF323" s="86">
        <v>71.849999999999994</v>
      </c>
    </row>
    <row r="324" spans="21:32" x14ac:dyDescent="0.3">
      <c r="U324" s="12">
        <v>182</v>
      </c>
      <c r="V324" s="12">
        <v>15</v>
      </c>
      <c r="W324" s="12">
        <v>15</v>
      </c>
      <c r="AD324" s="12">
        <v>182</v>
      </c>
      <c r="AE324" s="12">
        <v>75.069999999999993</v>
      </c>
      <c r="AF324" s="87">
        <v>75.069999999999993</v>
      </c>
    </row>
    <row r="325" spans="21:32" x14ac:dyDescent="0.3">
      <c r="U325" s="12">
        <v>183</v>
      </c>
      <c r="V325" s="12">
        <v>8</v>
      </c>
      <c r="W325" s="12">
        <v>8</v>
      </c>
      <c r="AD325" s="12">
        <v>183</v>
      </c>
      <c r="AE325" s="12">
        <v>70.98</v>
      </c>
      <c r="AF325" s="86">
        <v>70.98</v>
      </c>
    </row>
    <row r="326" spans="21:32" x14ac:dyDescent="0.3">
      <c r="U326" s="12">
        <v>184</v>
      </c>
      <c r="V326" s="12">
        <v>19</v>
      </c>
      <c r="W326" s="12">
        <v>19</v>
      </c>
      <c r="AD326" s="12">
        <v>184</v>
      </c>
      <c r="AE326" s="12">
        <v>75.180000000000007</v>
      </c>
      <c r="AF326" s="87">
        <v>75.180000000000007</v>
      </c>
    </row>
    <row r="327" spans="21:32" x14ac:dyDescent="0.3">
      <c r="U327" s="12">
        <v>185</v>
      </c>
      <c r="V327" s="12">
        <v>5</v>
      </c>
      <c r="W327" s="12">
        <v>5</v>
      </c>
      <c r="AD327" s="12">
        <v>185</v>
      </c>
      <c r="AE327" s="12">
        <v>77.349999999999994</v>
      </c>
      <c r="AF327" s="87">
        <v>77.349999999999994</v>
      </c>
    </row>
    <row r="328" spans="21:32" x14ac:dyDescent="0.3">
      <c r="U328" s="12">
        <v>186</v>
      </c>
      <c r="V328" s="12">
        <v>4</v>
      </c>
      <c r="W328" s="12">
        <v>4</v>
      </c>
      <c r="AD328" s="12">
        <v>186</v>
      </c>
      <c r="AE328" s="12">
        <v>75.790000000000006</v>
      </c>
      <c r="AF328" s="87">
        <v>75.790000000000006</v>
      </c>
    </row>
    <row r="329" spans="21:32" x14ac:dyDescent="0.3">
      <c r="U329" s="12">
        <v>187</v>
      </c>
      <c r="V329" s="12">
        <v>7</v>
      </c>
      <c r="W329" s="12">
        <v>7</v>
      </c>
      <c r="AD329" s="12">
        <v>187</v>
      </c>
      <c r="AE329" s="12">
        <v>73.989999999999995</v>
      </c>
      <c r="AF329" s="86">
        <v>73.989999999999995</v>
      </c>
    </row>
    <row r="330" spans="21:32" x14ac:dyDescent="0.3">
      <c r="U330" s="12">
        <v>188</v>
      </c>
      <c r="V330" s="12">
        <v>4</v>
      </c>
      <c r="W330" s="12">
        <v>4</v>
      </c>
      <c r="AD330" s="12">
        <v>188</v>
      </c>
      <c r="AE330" s="12">
        <v>75.989999999999995</v>
      </c>
      <c r="AF330" s="87">
        <v>75.989999999999995</v>
      </c>
    </row>
    <row r="331" spans="21:32" x14ac:dyDescent="0.3">
      <c r="U331" s="12">
        <v>189</v>
      </c>
      <c r="V331" s="12">
        <v>4</v>
      </c>
      <c r="W331" s="12">
        <v>4</v>
      </c>
      <c r="AD331" s="12">
        <v>189</v>
      </c>
      <c r="AE331" s="12">
        <v>78.5</v>
      </c>
      <c r="AF331" s="87">
        <v>78.5</v>
      </c>
    </row>
    <row r="332" spans="21:32" x14ac:dyDescent="0.3">
      <c r="U332" s="12">
        <v>190</v>
      </c>
      <c r="V332" s="12">
        <v>8</v>
      </c>
      <c r="W332" s="12">
        <v>8</v>
      </c>
      <c r="AD332" s="12">
        <v>190</v>
      </c>
      <c r="AE332" s="12">
        <v>76.849999999999994</v>
      </c>
      <c r="AF332" s="87">
        <v>76.849999999999994</v>
      </c>
    </row>
    <row r="333" spans="21:32" x14ac:dyDescent="0.3">
      <c r="U333" s="12">
        <v>191</v>
      </c>
      <c r="V333" s="12">
        <v>7</v>
      </c>
      <c r="W333" s="12">
        <v>7</v>
      </c>
      <c r="AD333" s="12">
        <v>191</v>
      </c>
      <c r="AE333" s="12">
        <v>76.42</v>
      </c>
      <c r="AF333" s="87">
        <v>76.42</v>
      </c>
    </row>
    <row r="334" spans="21:32" x14ac:dyDescent="0.3">
      <c r="U334" s="12">
        <v>192</v>
      </c>
      <c r="V334" s="12">
        <v>9</v>
      </c>
      <c r="W334" s="12">
        <v>9</v>
      </c>
      <c r="AD334" s="12">
        <v>192</v>
      </c>
      <c r="AE334" s="12">
        <v>77.650000000000006</v>
      </c>
      <c r="AF334" s="87">
        <v>77.650000000000006</v>
      </c>
    </row>
    <row r="335" spans="21:32" x14ac:dyDescent="0.3">
      <c r="U335" s="12">
        <v>193</v>
      </c>
      <c r="V335" s="12">
        <v>6</v>
      </c>
      <c r="W335" s="12">
        <v>6</v>
      </c>
      <c r="AD335" s="12">
        <v>193</v>
      </c>
      <c r="AE335" s="12">
        <v>77.64</v>
      </c>
      <c r="AF335" s="87">
        <v>77.64</v>
      </c>
    </row>
    <row r="336" spans="21:32" x14ac:dyDescent="0.3">
      <c r="U336" s="12">
        <v>194</v>
      </c>
      <c r="V336" s="12">
        <v>4</v>
      </c>
      <c r="W336" s="12">
        <v>4</v>
      </c>
      <c r="AD336" s="12">
        <v>194</v>
      </c>
      <c r="AE336" s="12">
        <v>76.87</v>
      </c>
      <c r="AF336" s="87">
        <v>76.87</v>
      </c>
    </row>
    <row r="337" spans="21:32" x14ac:dyDescent="0.3">
      <c r="U337" s="12">
        <v>195</v>
      </c>
      <c r="V337" s="12">
        <v>7</v>
      </c>
      <c r="W337" s="12">
        <v>7</v>
      </c>
      <c r="AD337" s="12">
        <v>195</v>
      </c>
      <c r="AE337" s="12">
        <v>78.22</v>
      </c>
      <c r="AF337" s="87">
        <v>78.22</v>
      </c>
    </row>
    <row r="338" spans="21:32" x14ac:dyDescent="0.3">
      <c r="U338" s="12">
        <v>196</v>
      </c>
      <c r="V338" s="12">
        <v>5</v>
      </c>
      <c r="W338" s="12">
        <v>5</v>
      </c>
      <c r="AD338" s="12">
        <v>196</v>
      </c>
      <c r="AE338" s="12">
        <v>71.45</v>
      </c>
      <c r="AF338" s="86">
        <v>71.45</v>
      </c>
    </row>
    <row r="339" spans="21:32" x14ac:dyDescent="0.3">
      <c r="U339" s="12">
        <v>197</v>
      </c>
      <c r="V339" s="12">
        <v>6</v>
      </c>
      <c r="W339" s="12">
        <v>6</v>
      </c>
      <c r="AD339" s="12">
        <v>197</v>
      </c>
      <c r="AE339" s="12">
        <v>78.349999999999994</v>
      </c>
      <c r="AF339" s="87">
        <v>78.349999999999994</v>
      </c>
    </row>
    <row r="340" spans="21:32" x14ac:dyDescent="0.3">
      <c r="U340" s="12">
        <v>198</v>
      </c>
      <c r="V340" s="12">
        <v>3</v>
      </c>
      <c r="W340" s="12">
        <v>3</v>
      </c>
      <c r="AD340" s="12">
        <v>198</v>
      </c>
      <c r="AE340" s="12">
        <v>77.349999999999994</v>
      </c>
      <c r="AF340" s="87">
        <v>77.349999999999994</v>
      </c>
    </row>
    <row r="341" spans="21:32" x14ac:dyDescent="0.3">
      <c r="U341" s="12">
        <v>199</v>
      </c>
      <c r="V341" s="12">
        <v>5</v>
      </c>
      <c r="W341" s="12">
        <v>5</v>
      </c>
      <c r="AD341" s="12">
        <v>199</v>
      </c>
      <c r="AE341" s="12">
        <v>77.48</v>
      </c>
      <c r="AF341" s="87">
        <v>77.48</v>
      </c>
    </row>
    <row r="342" spans="21:32" x14ac:dyDescent="0.3">
      <c r="U342" s="12">
        <v>200</v>
      </c>
      <c r="V342" s="12">
        <v>3</v>
      </c>
      <c r="W342" s="12">
        <v>3</v>
      </c>
      <c r="AD342" s="12">
        <v>200</v>
      </c>
      <c r="AE342" s="12">
        <v>84.86</v>
      </c>
      <c r="AF342" s="88">
        <v>84.86</v>
      </c>
    </row>
    <row r="343" spans="21:32" x14ac:dyDescent="0.3">
      <c r="U343" s="12">
        <v>201</v>
      </c>
      <c r="V343" s="12">
        <v>3</v>
      </c>
      <c r="W343" s="12">
        <v>3</v>
      </c>
      <c r="AD343" s="12">
        <v>201</v>
      </c>
      <c r="AE343" s="12">
        <v>82.39</v>
      </c>
      <c r="AF343" s="88">
        <v>82.39</v>
      </c>
    </row>
    <row r="344" spans="21:32" x14ac:dyDescent="0.3">
      <c r="U344" s="12">
        <v>202</v>
      </c>
      <c r="V344" s="12">
        <v>5</v>
      </c>
      <c r="W344" s="12">
        <v>5</v>
      </c>
      <c r="AD344" s="12">
        <v>202</v>
      </c>
      <c r="AE344" s="12">
        <v>78.88</v>
      </c>
      <c r="AF344" s="87">
        <v>78.88</v>
      </c>
    </row>
    <row r="345" spans="21:32" x14ac:dyDescent="0.3">
      <c r="U345" s="12">
        <v>203</v>
      </c>
      <c r="V345" s="12">
        <v>2</v>
      </c>
      <c r="W345" s="12">
        <v>2</v>
      </c>
      <c r="AD345" s="12">
        <v>203</v>
      </c>
      <c r="AE345" s="12">
        <v>86.92</v>
      </c>
      <c r="AF345" s="168">
        <v>86.92</v>
      </c>
    </row>
    <row r="346" spans="21:32" x14ac:dyDescent="0.3">
      <c r="U346" s="12">
        <v>204</v>
      </c>
      <c r="V346" s="12">
        <v>5</v>
      </c>
      <c r="W346" s="12">
        <v>5</v>
      </c>
      <c r="AD346" s="12">
        <v>204</v>
      </c>
      <c r="AE346" s="12">
        <v>78.319999999999993</v>
      </c>
      <c r="AF346" s="87">
        <v>78.319999999999993</v>
      </c>
    </row>
    <row r="347" spans="21:32" x14ac:dyDescent="0.3">
      <c r="U347" s="12">
        <v>205</v>
      </c>
      <c r="V347" s="12">
        <v>4</v>
      </c>
      <c r="W347" s="12">
        <v>4</v>
      </c>
      <c r="AD347" s="12">
        <v>205</v>
      </c>
      <c r="AE347" s="12">
        <v>79.959999999999994</v>
      </c>
      <c r="AF347" s="87">
        <v>79.959999999999994</v>
      </c>
    </row>
    <row r="348" spans="21:32" x14ac:dyDescent="0.3">
      <c r="U348" s="12">
        <v>206</v>
      </c>
      <c r="V348" s="12">
        <v>4</v>
      </c>
      <c r="W348" s="12">
        <v>4</v>
      </c>
      <c r="AD348" s="12">
        <v>206</v>
      </c>
      <c r="AE348" s="12">
        <v>78.739999999999995</v>
      </c>
      <c r="AF348" s="87">
        <v>78.739999999999995</v>
      </c>
    </row>
    <row r="349" spans="21:32" x14ac:dyDescent="0.3">
      <c r="U349" s="12">
        <v>207</v>
      </c>
      <c r="V349" s="12">
        <v>3</v>
      </c>
      <c r="W349" s="12">
        <v>3</v>
      </c>
      <c r="AD349" s="12">
        <v>207</v>
      </c>
      <c r="AE349" s="12">
        <v>76.34</v>
      </c>
      <c r="AF349" s="87">
        <v>76.34</v>
      </c>
    </row>
    <row r="350" spans="21:32" x14ac:dyDescent="0.3">
      <c r="U350" s="12">
        <v>208</v>
      </c>
      <c r="V350" s="12">
        <v>2</v>
      </c>
      <c r="W350" s="12">
        <v>2</v>
      </c>
      <c r="AD350" s="12">
        <v>208</v>
      </c>
      <c r="AE350" s="12">
        <v>79.77</v>
      </c>
      <c r="AF350" s="87">
        <v>79.77</v>
      </c>
    </row>
    <row r="351" spans="21:32" x14ac:dyDescent="0.3">
      <c r="U351" s="12">
        <v>209</v>
      </c>
      <c r="V351" s="12">
        <v>2</v>
      </c>
      <c r="W351" s="12">
        <v>2</v>
      </c>
      <c r="AD351" s="12">
        <v>209</v>
      </c>
      <c r="AE351" s="12">
        <v>81.459999999999994</v>
      </c>
      <c r="AF351" s="88">
        <v>81.459999999999994</v>
      </c>
    </row>
    <row r="352" spans="21:32" x14ac:dyDescent="0.3">
      <c r="U352" s="12">
        <v>210</v>
      </c>
      <c r="V352" s="12">
        <v>5</v>
      </c>
      <c r="W352" s="12">
        <v>5</v>
      </c>
      <c r="AD352" s="12">
        <v>210</v>
      </c>
      <c r="AE352" s="12">
        <v>80.91</v>
      </c>
      <c r="AF352" s="88">
        <v>80.91</v>
      </c>
    </row>
    <row r="353" spans="21:32" x14ac:dyDescent="0.3">
      <c r="U353" s="12">
        <v>211</v>
      </c>
      <c r="V353" s="12">
        <v>1</v>
      </c>
      <c r="W353" s="12">
        <v>1</v>
      </c>
      <c r="AD353" s="12">
        <v>211</v>
      </c>
      <c r="AE353" s="12">
        <v>79.63</v>
      </c>
      <c r="AF353" s="87">
        <v>79.63</v>
      </c>
    </row>
    <row r="354" spans="21:32" x14ac:dyDescent="0.3">
      <c r="U354" s="12">
        <v>212</v>
      </c>
      <c r="AD354" s="12">
        <v>212</v>
      </c>
    </row>
    <row r="355" spans="21:32" x14ac:dyDescent="0.3">
      <c r="U355" s="12">
        <v>213</v>
      </c>
      <c r="AD355" s="12">
        <v>213</v>
      </c>
    </row>
    <row r="356" spans="21:32" x14ac:dyDescent="0.3">
      <c r="U356" s="12">
        <v>214</v>
      </c>
      <c r="V356" s="12">
        <v>1</v>
      </c>
      <c r="W356" s="12">
        <v>1</v>
      </c>
      <c r="AD356" s="12">
        <v>214</v>
      </c>
      <c r="AE356" s="12">
        <v>92.06</v>
      </c>
      <c r="AF356" s="12">
        <v>92.06</v>
      </c>
    </row>
    <row r="357" spans="21:32" x14ac:dyDescent="0.3">
      <c r="U357" s="12">
        <v>215</v>
      </c>
      <c r="AD357" s="12">
        <v>215</v>
      </c>
    </row>
    <row r="358" spans="21:32" x14ac:dyDescent="0.3">
      <c r="U358" s="12">
        <v>216</v>
      </c>
      <c r="AD358" s="12">
        <v>216</v>
      </c>
    </row>
    <row r="359" spans="21:32" x14ac:dyDescent="0.3">
      <c r="U359" s="12">
        <v>217</v>
      </c>
      <c r="V359" s="12">
        <v>2</v>
      </c>
      <c r="W359" s="12">
        <v>2</v>
      </c>
      <c r="AD359" s="12">
        <v>217</v>
      </c>
      <c r="AE359" s="12">
        <v>82.79</v>
      </c>
      <c r="AF359" s="88">
        <v>82.79</v>
      </c>
    </row>
    <row r="360" spans="21:32" x14ac:dyDescent="0.3">
      <c r="U360" s="12">
        <v>218</v>
      </c>
      <c r="AD360" s="12">
        <v>218</v>
      </c>
    </row>
    <row r="361" spans="21:32" x14ac:dyDescent="0.3">
      <c r="U361" s="12">
        <v>219</v>
      </c>
      <c r="AD361" s="12">
        <v>219</v>
      </c>
    </row>
    <row r="362" spans="21:32" x14ac:dyDescent="0.3">
      <c r="U362" s="12">
        <v>220</v>
      </c>
      <c r="V362" s="12">
        <v>1</v>
      </c>
      <c r="W362" s="12">
        <v>1</v>
      </c>
      <c r="AD362" s="12">
        <v>220</v>
      </c>
      <c r="AE362" s="12">
        <v>78.48</v>
      </c>
      <c r="AF362" s="87">
        <v>78.48</v>
      </c>
    </row>
    <row r="363" spans="21:32" x14ac:dyDescent="0.3">
      <c r="U363" s="12">
        <v>221</v>
      </c>
      <c r="V363" s="12">
        <v>1</v>
      </c>
      <c r="W363" s="12">
        <v>1</v>
      </c>
      <c r="AD363" s="12">
        <v>221</v>
      </c>
      <c r="AE363" s="12">
        <v>77.930000000000007</v>
      </c>
      <c r="AF363" s="87">
        <v>77.930000000000007</v>
      </c>
    </row>
    <row r="364" spans="21:32" x14ac:dyDescent="0.3">
      <c r="U364" s="12">
        <v>222</v>
      </c>
      <c r="AD364" s="12">
        <v>222</v>
      </c>
    </row>
    <row r="365" spans="21:32" x14ac:dyDescent="0.3">
      <c r="U365" s="12">
        <v>223</v>
      </c>
      <c r="V365" s="12">
        <v>1</v>
      </c>
      <c r="W365" s="12">
        <v>1</v>
      </c>
      <c r="AD365" s="12">
        <v>223</v>
      </c>
      <c r="AE365" s="12">
        <v>85.34</v>
      </c>
      <c r="AF365" s="168">
        <v>85.34</v>
      </c>
    </row>
    <row r="366" spans="21:32" x14ac:dyDescent="0.3">
      <c r="U366" s="12">
        <v>224</v>
      </c>
      <c r="V366" s="12">
        <v>1</v>
      </c>
      <c r="W366" s="12">
        <v>1</v>
      </c>
      <c r="AD366" s="12">
        <v>224</v>
      </c>
      <c r="AE366" s="12">
        <v>78.69</v>
      </c>
      <c r="AF366" s="87">
        <v>78.69</v>
      </c>
    </row>
    <row r="367" spans="21:32" x14ac:dyDescent="0.3">
      <c r="U367" s="12">
        <v>225</v>
      </c>
      <c r="AD367" s="12">
        <v>225</v>
      </c>
    </row>
    <row r="368" spans="21:32" x14ac:dyDescent="0.3">
      <c r="U368" s="12">
        <v>226</v>
      </c>
      <c r="AD368" s="12">
        <v>226</v>
      </c>
    </row>
    <row r="369" spans="21:32" x14ac:dyDescent="0.3">
      <c r="U369" s="12">
        <v>227</v>
      </c>
      <c r="AD369" s="12">
        <v>227</v>
      </c>
    </row>
    <row r="370" spans="21:32" x14ac:dyDescent="0.3">
      <c r="U370" s="12">
        <v>228</v>
      </c>
      <c r="AD370" s="12">
        <v>228</v>
      </c>
    </row>
    <row r="371" spans="21:32" x14ac:dyDescent="0.3">
      <c r="U371" s="12">
        <v>229</v>
      </c>
      <c r="AD371" s="12">
        <v>229</v>
      </c>
    </row>
    <row r="372" spans="21:32" x14ac:dyDescent="0.3">
      <c r="U372" s="12">
        <v>230</v>
      </c>
      <c r="V372" s="12">
        <v>1</v>
      </c>
      <c r="W372" s="12">
        <v>1</v>
      </c>
      <c r="AD372" s="12">
        <v>230</v>
      </c>
      <c r="AE372" s="12">
        <v>88.29</v>
      </c>
      <c r="AF372" s="168">
        <v>88.29</v>
      </c>
    </row>
    <row r="373" spans="21:32" x14ac:dyDescent="0.3">
      <c r="U373" s="12">
        <v>231</v>
      </c>
      <c r="AD373" s="12">
        <v>231</v>
      </c>
    </row>
    <row r="374" spans="21:32" x14ac:dyDescent="0.3">
      <c r="U374" s="12">
        <v>232</v>
      </c>
      <c r="AD374" s="12">
        <v>232</v>
      </c>
    </row>
    <row r="375" spans="21:32" x14ac:dyDescent="0.3">
      <c r="U375" s="12">
        <v>233</v>
      </c>
      <c r="V375" s="12">
        <v>1</v>
      </c>
      <c r="W375" s="12">
        <v>1</v>
      </c>
      <c r="AD375" s="12">
        <v>233</v>
      </c>
      <c r="AE375" s="12">
        <v>79.45</v>
      </c>
      <c r="AF375" s="87">
        <v>79.45</v>
      </c>
    </row>
    <row r="376" spans="21:32" x14ac:dyDescent="0.3">
      <c r="U376" s="12">
        <v>234</v>
      </c>
      <c r="AD376" s="12">
        <v>234</v>
      </c>
    </row>
    <row r="377" spans="21:32" x14ac:dyDescent="0.3">
      <c r="U377" s="12">
        <v>235</v>
      </c>
      <c r="AD377" s="12">
        <v>235</v>
      </c>
    </row>
    <row r="378" spans="21:32" x14ac:dyDescent="0.3">
      <c r="U378" s="12">
        <v>236</v>
      </c>
      <c r="AD378" s="12">
        <v>236</v>
      </c>
    </row>
    <row r="379" spans="21:32" x14ac:dyDescent="0.3">
      <c r="U379" s="12">
        <v>237</v>
      </c>
      <c r="AD379" s="12">
        <v>237</v>
      </c>
    </row>
    <row r="380" spans="21:32" x14ac:dyDescent="0.3">
      <c r="U380" s="12">
        <v>238</v>
      </c>
      <c r="AD380" s="12">
        <v>238</v>
      </c>
    </row>
    <row r="381" spans="21:32" x14ac:dyDescent="0.3">
      <c r="U381" s="12">
        <v>239</v>
      </c>
      <c r="AD381" s="12">
        <v>239</v>
      </c>
    </row>
    <row r="382" spans="21:32" x14ac:dyDescent="0.3">
      <c r="U382" s="12">
        <v>240</v>
      </c>
      <c r="AD382" s="12">
        <v>240</v>
      </c>
    </row>
    <row r="383" spans="21:32" x14ac:dyDescent="0.3">
      <c r="U383" s="12">
        <v>241</v>
      </c>
      <c r="AD383" s="12">
        <v>241</v>
      </c>
    </row>
    <row r="384" spans="21:32" x14ac:dyDescent="0.3">
      <c r="U384" s="12">
        <v>242</v>
      </c>
      <c r="AD384" s="12">
        <v>242</v>
      </c>
    </row>
    <row r="385" spans="21:30" x14ac:dyDescent="0.3">
      <c r="U385" s="12">
        <v>243</v>
      </c>
      <c r="AD385" s="12">
        <v>243</v>
      </c>
    </row>
    <row r="386" spans="21:30" x14ac:dyDescent="0.3">
      <c r="U386" s="12">
        <v>244</v>
      </c>
      <c r="AD386" s="12">
        <v>244</v>
      </c>
    </row>
    <row r="387" spans="21:30" x14ac:dyDescent="0.3">
      <c r="U387" s="12">
        <v>245</v>
      </c>
      <c r="AD387" s="12">
        <v>245</v>
      </c>
    </row>
    <row r="388" spans="21:30" x14ac:dyDescent="0.3">
      <c r="U388" s="12">
        <v>246</v>
      </c>
      <c r="AD388" s="12">
        <v>246</v>
      </c>
    </row>
    <row r="389" spans="21:30" x14ac:dyDescent="0.3">
      <c r="U389" s="12">
        <v>247</v>
      </c>
      <c r="AD389" s="12">
        <v>247</v>
      </c>
    </row>
    <row r="390" spans="21:30" x14ac:dyDescent="0.3">
      <c r="U390" s="12">
        <v>248</v>
      </c>
      <c r="AD390" s="12">
        <v>248</v>
      </c>
    </row>
    <row r="391" spans="21:30" x14ac:dyDescent="0.3">
      <c r="U391" s="12">
        <v>249</v>
      </c>
      <c r="AD391" s="12">
        <v>249</v>
      </c>
    </row>
    <row r="392" spans="21:30" x14ac:dyDescent="0.3">
      <c r="U392" s="12">
        <v>250</v>
      </c>
      <c r="AD392" s="12">
        <v>250</v>
      </c>
    </row>
    <row r="393" spans="21:30" x14ac:dyDescent="0.3">
      <c r="U393" s="12">
        <v>251</v>
      </c>
      <c r="AD393" s="12">
        <v>251</v>
      </c>
    </row>
    <row r="394" spans="21:30" x14ac:dyDescent="0.3">
      <c r="U394" s="12">
        <v>252</v>
      </c>
      <c r="AD394" s="12">
        <v>252</v>
      </c>
    </row>
    <row r="395" spans="21:30" x14ac:dyDescent="0.3">
      <c r="U395" s="12">
        <v>253</v>
      </c>
      <c r="AD395" s="12">
        <v>253</v>
      </c>
    </row>
    <row r="396" spans="21:30" x14ac:dyDescent="0.3">
      <c r="U396" s="12">
        <v>254</v>
      </c>
      <c r="AD396" s="12">
        <v>254</v>
      </c>
    </row>
    <row r="397" spans="21:30" x14ac:dyDescent="0.3">
      <c r="U397" s="12">
        <v>255</v>
      </c>
      <c r="AD397" s="12">
        <v>255</v>
      </c>
    </row>
    <row r="398" spans="21:30" x14ac:dyDescent="0.3">
      <c r="U398" s="12">
        <v>256</v>
      </c>
      <c r="AD398" s="12">
        <v>256</v>
      </c>
    </row>
    <row r="399" spans="21:30" x14ac:dyDescent="0.3">
      <c r="U399" s="12">
        <v>257</v>
      </c>
      <c r="AD399" s="12">
        <v>257</v>
      </c>
    </row>
    <row r="400" spans="21:30" x14ac:dyDescent="0.3">
      <c r="U400" s="12">
        <v>258</v>
      </c>
      <c r="AD400" s="12">
        <v>258</v>
      </c>
    </row>
    <row r="401" spans="21:30" x14ac:dyDescent="0.3">
      <c r="U401" s="12">
        <v>259</v>
      </c>
      <c r="AD401" s="12">
        <v>259</v>
      </c>
    </row>
    <row r="402" spans="21:30" x14ac:dyDescent="0.3">
      <c r="U402" s="12">
        <v>260</v>
      </c>
      <c r="AD402" s="12">
        <v>260</v>
      </c>
    </row>
    <row r="403" spans="21:30" x14ac:dyDescent="0.3">
      <c r="U403" s="12">
        <v>261</v>
      </c>
      <c r="AD403" s="12">
        <v>261</v>
      </c>
    </row>
    <row r="404" spans="21:30" x14ac:dyDescent="0.3">
      <c r="U404" s="12">
        <v>262</v>
      </c>
      <c r="AD404" s="12">
        <v>262</v>
      </c>
    </row>
    <row r="405" spans="21:30" x14ac:dyDescent="0.3">
      <c r="U405" s="12">
        <v>263</v>
      </c>
      <c r="AD405" s="12">
        <v>263</v>
      </c>
    </row>
    <row r="406" spans="21:30" x14ac:dyDescent="0.3">
      <c r="U406" s="12">
        <v>264</v>
      </c>
      <c r="AD406" s="12">
        <v>264</v>
      </c>
    </row>
    <row r="407" spans="21:30" x14ac:dyDescent="0.3">
      <c r="U407" s="12">
        <v>265</v>
      </c>
      <c r="AD407" s="12">
        <v>265</v>
      </c>
    </row>
    <row r="408" spans="21:30" x14ac:dyDescent="0.3">
      <c r="U408" s="12">
        <v>266</v>
      </c>
      <c r="AD408" s="12">
        <v>266</v>
      </c>
    </row>
    <row r="409" spans="21:30" x14ac:dyDescent="0.3">
      <c r="U409" s="12">
        <v>267</v>
      </c>
      <c r="AD409" s="12">
        <v>267</v>
      </c>
    </row>
    <row r="410" spans="21:30" x14ac:dyDescent="0.3">
      <c r="U410" s="12">
        <v>268</v>
      </c>
      <c r="AD410" s="12">
        <v>268</v>
      </c>
    </row>
    <row r="411" spans="21:30" x14ac:dyDescent="0.3">
      <c r="U411" s="12">
        <v>269</v>
      </c>
      <c r="AD411" s="12">
        <v>269</v>
      </c>
    </row>
    <row r="412" spans="21:30" x14ac:dyDescent="0.3">
      <c r="U412" s="12">
        <v>270</v>
      </c>
      <c r="AD412" s="12">
        <v>270</v>
      </c>
    </row>
    <row r="413" spans="21:30" x14ac:dyDescent="0.3">
      <c r="U413" s="12">
        <v>271</v>
      </c>
      <c r="AD413" s="12">
        <v>271</v>
      </c>
    </row>
    <row r="414" spans="21:30" x14ac:dyDescent="0.3">
      <c r="U414" s="12">
        <v>272</v>
      </c>
      <c r="AD414" s="12">
        <v>272</v>
      </c>
    </row>
    <row r="415" spans="21:30" x14ac:dyDescent="0.3">
      <c r="U415" s="12">
        <v>273</v>
      </c>
      <c r="AD415" s="12">
        <v>273</v>
      </c>
    </row>
    <row r="416" spans="21:30" x14ac:dyDescent="0.3">
      <c r="U416" s="12">
        <v>274</v>
      </c>
      <c r="AD416" s="12">
        <v>274</v>
      </c>
    </row>
    <row r="417" spans="21:30" x14ac:dyDescent="0.3">
      <c r="U417" s="12">
        <v>275</v>
      </c>
      <c r="AD417" s="12">
        <v>275</v>
      </c>
    </row>
    <row r="418" spans="21:30" x14ac:dyDescent="0.3">
      <c r="U418" s="12">
        <v>276</v>
      </c>
      <c r="AD418" s="12">
        <v>276</v>
      </c>
    </row>
    <row r="419" spans="21:30" x14ac:dyDescent="0.3">
      <c r="U419" s="12">
        <v>277</v>
      </c>
      <c r="AD419" s="12">
        <v>277</v>
      </c>
    </row>
    <row r="420" spans="21:30" x14ac:dyDescent="0.3">
      <c r="U420" s="12">
        <v>278</v>
      </c>
      <c r="AD420" s="12">
        <v>278</v>
      </c>
    </row>
    <row r="421" spans="21:30" x14ac:dyDescent="0.3">
      <c r="U421" s="12">
        <v>279</v>
      </c>
      <c r="AD421" s="12">
        <v>279</v>
      </c>
    </row>
    <row r="422" spans="21:30" x14ac:dyDescent="0.3">
      <c r="U422" s="12">
        <v>280</v>
      </c>
      <c r="AD422" s="12">
        <v>280</v>
      </c>
    </row>
    <row r="423" spans="21:30" x14ac:dyDescent="0.3">
      <c r="U423" s="12">
        <v>281</v>
      </c>
      <c r="AD423" s="12">
        <v>281</v>
      </c>
    </row>
    <row r="424" spans="21:30" x14ac:dyDescent="0.3">
      <c r="U424" s="12">
        <v>282</v>
      </c>
      <c r="AD424" s="12">
        <v>282</v>
      </c>
    </row>
    <row r="425" spans="21:30" x14ac:dyDescent="0.3">
      <c r="U425" s="12">
        <v>283</v>
      </c>
      <c r="AD425" s="12">
        <v>283</v>
      </c>
    </row>
    <row r="426" spans="21:30" x14ac:dyDescent="0.3">
      <c r="U426" s="12">
        <v>284</v>
      </c>
      <c r="AD426" s="12">
        <v>284</v>
      </c>
    </row>
    <row r="427" spans="21:30" x14ac:dyDescent="0.3">
      <c r="U427" s="12">
        <v>285</v>
      </c>
      <c r="AD427" s="12">
        <v>285</v>
      </c>
    </row>
    <row r="428" spans="21:30" x14ac:dyDescent="0.3">
      <c r="U428" s="12">
        <v>286</v>
      </c>
      <c r="AD428" s="12">
        <v>286</v>
      </c>
    </row>
    <row r="429" spans="21:30" x14ac:dyDescent="0.3">
      <c r="U429" s="12">
        <v>287</v>
      </c>
      <c r="AD429" s="12">
        <v>287</v>
      </c>
    </row>
    <row r="430" spans="21:30" x14ac:dyDescent="0.3">
      <c r="U430" s="12">
        <v>288</v>
      </c>
      <c r="AD430" s="12">
        <v>288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A5D26-5D17-44A3-B1D4-4E669785D484}">
  <sheetPr codeName="Sheet19">
    <tabColor theme="0"/>
  </sheetPr>
  <dimension ref="A1:AS91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I1" sqref="AI1"/>
    </sheetView>
  </sheetViews>
  <sheetFormatPr defaultColWidth="3.84375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6.765625" style="58" bestFit="1" customWidth="1"/>
    <col min="6" max="6" width="3.07421875" style="12" bestFit="1" customWidth="1"/>
    <col min="7" max="8" width="4.765625" style="12" bestFit="1" customWidth="1"/>
    <col min="9" max="9" width="2.921875" style="12" bestFit="1" customWidth="1"/>
    <col min="10" max="10" width="4.84375" style="118" bestFit="1" customWidth="1"/>
    <col min="11" max="11" width="3.07421875" style="12" bestFit="1" customWidth="1"/>
    <col min="12" max="13" width="4.765625" style="12" bestFit="1" customWidth="1"/>
    <col min="14" max="14" width="2.921875" style="12" bestFit="1" customWidth="1"/>
    <col min="15" max="15" width="6.765625" style="58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6.765625" style="58" bestFit="1" customWidth="1"/>
    <col min="21" max="21" width="3.84375" style="12" bestFit="1" customWidth="1"/>
    <col min="22" max="22" width="5.69140625" style="12" bestFit="1" customWidth="1"/>
    <col min="23" max="23" width="4.765625" style="12" bestFit="1" customWidth="1"/>
    <col min="24" max="24" width="2.921875" style="12" bestFit="1" customWidth="1"/>
    <col min="25" max="25" width="4.84375" style="118" bestFit="1" customWidth="1"/>
    <col min="26" max="26" width="3.07421875" style="12" bestFit="1" customWidth="1"/>
    <col min="27" max="27" width="5.69140625" style="12" bestFit="1" customWidth="1"/>
    <col min="28" max="28" width="4.765625" style="12" bestFit="1" customWidth="1"/>
    <col min="29" max="29" width="2.921875" style="12" bestFit="1" customWidth="1"/>
    <col min="30" max="30" width="6.765625" style="58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6.765625" style="58" bestFit="1" customWidth="1"/>
    <col min="36" max="36" width="3.84375" style="12" bestFit="1" customWidth="1"/>
    <col min="37" max="37" width="5.69140625" style="12" bestFit="1" customWidth="1"/>
    <col min="38" max="38" width="4.765625" style="12" bestFit="1" customWidth="1"/>
    <col min="39" max="39" width="2.921875" style="12" bestFit="1" customWidth="1"/>
    <col min="40" max="40" width="6.765625" style="58" bestFit="1" customWidth="1"/>
    <col min="41" max="41" width="3.84375" style="12" bestFit="1" customWidth="1"/>
    <col min="42" max="42" width="5.69140625" style="12" bestFit="1" customWidth="1"/>
    <col min="43" max="43" width="4.765625" style="12" bestFit="1" customWidth="1"/>
    <col min="44" max="44" width="2.921875" style="12" bestFit="1" customWidth="1"/>
    <col min="45" max="45" width="6.765625" style="58" bestFit="1" customWidth="1"/>
    <col min="46" max="16384" width="3.84375" style="6"/>
  </cols>
  <sheetData>
    <row r="1" spans="1:45" x14ac:dyDescent="0.3">
      <c r="A1" s="35" t="s">
        <v>328</v>
      </c>
      <c r="B1" s="35" t="s">
        <v>329</v>
      </c>
      <c r="C1" s="35" t="s">
        <v>239</v>
      </c>
      <c r="D1" s="35" t="s">
        <v>330</v>
      </c>
      <c r="E1" s="55" t="s">
        <v>327</v>
      </c>
      <c r="F1" s="35" t="s">
        <v>328</v>
      </c>
      <c r="G1" s="35" t="s">
        <v>329</v>
      </c>
      <c r="H1" s="35" t="s">
        <v>239</v>
      </c>
      <c r="I1" s="35" t="s">
        <v>330</v>
      </c>
      <c r="J1" s="115" t="s">
        <v>327</v>
      </c>
      <c r="K1" s="35" t="s">
        <v>328</v>
      </c>
      <c r="L1" s="35" t="s">
        <v>329</v>
      </c>
      <c r="M1" s="35" t="s">
        <v>239</v>
      </c>
      <c r="N1" s="35" t="s">
        <v>330</v>
      </c>
      <c r="O1" s="55" t="s">
        <v>327</v>
      </c>
      <c r="P1" s="35" t="s">
        <v>100</v>
      </c>
      <c r="Q1" s="35" t="s">
        <v>329</v>
      </c>
      <c r="R1" s="35" t="s">
        <v>239</v>
      </c>
      <c r="S1" s="35" t="s">
        <v>330</v>
      </c>
      <c r="T1" s="55" t="s">
        <v>327</v>
      </c>
      <c r="U1" s="35" t="s">
        <v>100</v>
      </c>
      <c r="V1" s="35" t="s">
        <v>329</v>
      </c>
      <c r="W1" s="35" t="s">
        <v>239</v>
      </c>
      <c r="X1" s="35" t="s">
        <v>330</v>
      </c>
      <c r="Y1" s="115" t="s">
        <v>327</v>
      </c>
      <c r="Z1" s="35" t="s">
        <v>100</v>
      </c>
      <c r="AA1" s="35" t="s">
        <v>329</v>
      </c>
      <c r="AB1" s="35" t="s">
        <v>239</v>
      </c>
      <c r="AC1" s="35" t="s">
        <v>330</v>
      </c>
      <c r="AD1" s="55" t="s">
        <v>327</v>
      </c>
      <c r="AE1" s="35" t="s">
        <v>100</v>
      </c>
      <c r="AF1" s="35" t="s">
        <v>329</v>
      </c>
      <c r="AG1" s="35" t="s">
        <v>239</v>
      </c>
      <c r="AH1" s="35" t="s">
        <v>330</v>
      </c>
      <c r="AI1" s="55" t="s">
        <v>327</v>
      </c>
      <c r="AJ1" s="35" t="s">
        <v>100</v>
      </c>
      <c r="AK1" s="35" t="s">
        <v>329</v>
      </c>
      <c r="AL1" s="35" t="s">
        <v>239</v>
      </c>
      <c r="AM1" s="35" t="s">
        <v>330</v>
      </c>
      <c r="AN1" s="55" t="s">
        <v>327</v>
      </c>
      <c r="AO1" s="35" t="s">
        <v>100</v>
      </c>
      <c r="AP1" s="35" t="s">
        <v>329</v>
      </c>
      <c r="AQ1" s="35" t="s">
        <v>239</v>
      </c>
      <c r="AR1" s="35" t="s">
        <v>330</v>
      </c>
      <c r="AS1" s="55" t="s">
        <v>327</v>
      </c>
    </row>
    <row r="2" spans="1:45" x14ac:dyDescent="0.3">
      <c r="A2" s="79">
        <v>11</v>
      </c>
      <c r="B2" s="79">
        <v>3.17</v>
      </c>
      <c r="C2" s="81">
        <v>3.47</v>
      </c>
      <c r="D2" s="85">
        <v>56</v>
      </c>
      <c r="E2" s="58">
        <v>45810</v>
      </c>
      <c r="F2" s="79">
        <v>27</v>
      </c>
      <c r="G2" s="16">
        <v>5.78</v>
      </c>
      <c r="H2" s="78">
        <v>4.67</v>
      </c>
      <c r="I2" s="86">
        <v>49</v>
      </c>
      <c r="J2" s="118">
        <v>45763</v>
      </c>
      <c r="K2" s="79">
        <v>13</v>
      </c>
      <c r="L2" s="79">
        <v>3.33</v>
      </c>
      <c r="M2" s="80">
        <v>3.9</v>
      </c>
      <c r="N2" s="84">
        <v>61</v>
      </c>
      <c r="O2" s="58">
        <v>45807</v>
      </c>
      <c r="P2" s="79">
        <v>42</v>
      </c>
      <c r="Q2" s="80">
        <v>14.89</v>
      </c>
      <c r="R2" s="82">
        <v>2.82</v>
      </c>
      <c r="S2" s="82">
        <v>69</v>
      </c>
      <c r="T2" s="58">
        <v>45801</v>
      </c>
      <c r="U2" s="79">
        <v>100</v>
      </c>
      <c r="V2" s="88">
        <v>27.72</v>
      </c>
      <c r="W2" s="15">
        <v>3.61</v>
      </c>
      <c r="X2" s="84">
        <v>57</v>
      </c>
      <c r="Y2" s="118">
        <v>45793</v>
      </c>
      <c r="Z2" s="79">
        <v>42</v>
      </c>
      <c r="AA2" s="80">
        <v>14.89</v>
      </c>
      <c r="AB2" s="82">
        <v>2.82</v>
      </c>
      <c r="AC2" s="82">
        <v>69</v>
      </c>
      <c r="AD2" s="58">
        <v>45801</v>
      </c>
      <c r="AE2" s="79">
        <v>148</v>
      </c>
      <c r="AF2" s="15">
        <v>54.74</v>
      </c>
      <c r="AG2" s="171">
        <v>2.7</v>
      </c>
      <c r="AH2" s="82">
        <v>71</v>
      </c>
      <c r="AI2" s="58">
        <v>45801</v>
      </c>
      <c r="AJ2" s="79">
        <v>199</v>
      </c>
      <c r="AK2" s="84">
        <v>66.760000000000005</v>
      </c>
      <c r="AL2" s="82">
        <v>2.98</v>
      </c>
      <c r="AM2" s="171">
        <v>68</v>
      </c>
      <c r="AN2" s="58">
        <v>45779</v>
      </c>
      <c r="AO2" s="79">
        <v>171</v>
      </c>
      <c r="AP2" s="16">
        <v>59.24</v>
      </c>
      <c r="AQ2" s="82">
        <v>2.89</v>
      </c>
      <c r="AR2" s="82">
        <v>72</v>
      </c>
      <c r="AS2" s="58">
        <v>45801</v>
      </c>
    </row>
    <row r="3" spans="1:45" x14ac:dyDescent="0.3">
      <c r="A3" s="12">
        <v>11</v>
      </c>
      <c r="B3" s="79">
        <v>3.28</v>
      </c>
      <c r="C3" s="81">
        <v>3.35</v>
      </c>
      <c r="D3" s="85">
        <v>53</v>
      </c>
      <c r="E3" s="58">
        <v>45762</v>
      </c>
      <c r="F3" s="12">
        <v>20</v>
      </c>
      <c r="G3" s="15">
        <v>4.8099999999999996</v>
      </c>
      <c r="H3" s="14">
        <v>4.16</v>
      </c>
      <c r="I3" s="85">
        <v>50</v>
      </c>
      <c r="J3" s="118">
        <v>45762</v>
      </c>
      <c r="K3" s="12">
        <v>13</v>
      </c>
      <c r="L3" s="79">
        <v>3.34</v>
      </c>
      <c r="M3" s="80">
        <v>3.89</v>
      </c>
      <c r="N3" s="84">
        <v>60</v>
      </c>
      <c r="O3" s="58">
        <v>45810</v>
      </c>
      <c r="P3" s="12">
        <v>40</v>
      </c>
      <c r="Q3" s="15">
        <v>15.62</v>
      </c>
      <c r="R3" s="171">
        <v>2.56</v>
      </c>
      <c r="S3" s="84">
        <v>61</v>
      </c>
      <c r="T3" s="58">
        <v>45766</v>
      </c>
      <c r="U3" s="12">
        <v>80</v>
      </c>
      <c r="V3" s="86">
        <v>23.28</v>
      </c>
      <c r="W3" s="81">
        <v>3.44</v>
      </c>
      <c r="X3" s="84">
        <v>61</v>
      </c>
      <c r="Y3" s="118">
        <v>45810</v>
      </c>
      <c r="Z3" s="12">
        <v>60</v>
      </c>
      <c r="AA3" s="82">
        <v>18.440000000000001</v>
      </c>
      <c r="AB3" s="81">
        <v>3.25</v>
      </c>
      <c r="AC3" s="82">
        <v>69</v>
      </c>
      <c r="AD3" s="58">
        <v>45810</v>
      </c>
      <c r="AE3" s="12">
        <v>143</v>
      </c>
      <c r="AF3" s="16">
        <v>57.69</v>
      </c>
      <c r="AG3" s="84">
        <v>2.48</v>
      </c>
      <c r="AH3" s="171">
        <v>63</v>
      </c>
      <c r="AI3" s="58">
        <v>45763</v>
      </c>
      <c r="AJ3" s="12">
        <v>233</v>
      </c>
      <c r="AK3" s="87">
        <v>79.45</v>
      </c>
      <c r="AL3" s="82">
        <v>2.93</v>
      </c>
      <c r="AM3" s="84">
        <v>60</v>
      </c>
      <c r="AN3" s="58">
        <v>45779</v>
      </c>
      <c r="AO3" s="12">
        <v>148</v>
      </c>
      <c r="AP3" s="15">
        <v>54.74</v>
      </c>
      <c r="AQ3" s="171">
        <v>2.7</v>
      </c>
      <c r="AR3" s="82">
        <v>71</v>
      </c>
      <c r="AS3" s="58">
        <v>45801</v>
      </c>
    </row>
    <row r="4" spans="1:45" x14ac:dyDescent="0.3">
      <c r="A4" s="12">
        <v>10</v>
      </c>
      <c r="B4" s="79">
        <v>3.29</v>
      </c>
      <c r="C4" s="16">
        <v>3.04</v>
      </c>
      <c r="D4" s="86">
        <v>48</v>
      </c>
      <c r="E4" s="58">
        <v>45762</v>
      </c>
      <c r="F4" s="12">
        <v>24</v>
      </c>
      <c r="G4" s="16">
        <v>5.91</v>
      </c>
      <c r="H4" s="14">
        <v>4.0599999999999996</v>
      </c>
      <c r="I4" s="86">
        <v>42</v>
      </c>
      <c r="J4" s="118">
        <v>45793</v>
      </c>
      <c r="K4" s="12">
        <v>11</v>
      </c>
      <c r="L4" s="79">
        <v>3.17</v>
      </c>
      <c r="M4" s="81">
        <v>3.47</v>
      </c>
      <c r="N4" s="85">
        <v>56</v>
      </c>
      <c r="O4" s="58">
        <v>45810</v>
      </c>
      <c r="P4" s="12">
        <v>35</v>
      </c>
      <c r="Q4" s="81">
        <v>16.43</v>
      </c>
      <c r="R4" s="85">
        <v>2.13</v>
      </c>
      <c r="S4" s="86">
        <v>49</v>
      </c>
      <c r="T4" s="58">
        <v>45712</v>
      </c>
      <c r="U4" s="12">
        <v>99</v>
      </c>
      <c r="V4" s="168">
        <v>29.36</v>
      </c>
      <c r="W4" s="81">
        <v>3.37</v>
      </c>
      <c r="X4" s="85">
        <v>51</v>
      </c>
      <c r="Y4" s="118">
        <v>45763</v>
      </c>
      <c r="Z4" s="12">
        <v>53</v>
      </c>
      <c r="AA4" s="16">
        <v>17.190000000000001</v>
      </c>
      <c r="AB4" s="16">
        <v>3.08</v>
      </c>
      <c r="AC4" s="171">
        <v>68</v>
      </c>
      <c r="AD4" s="58">
        <v>45805</v>
      </c>
      <c r="AE4" s="12">
        <v>152</v>
      </c>
      <c r="AF4" s="16">
        <v>58.2</v>
      </c>
      <c r="AG4" s="171">
        <v>2.61</v>
      </c>
      <c r="AH4" s="171">
        <v>66</v>
      </c>
      <c r="AI4" s="58">
        <v>45779</v>
      </c>
      <c r="AJ4" s="12">
        <v>196</v>
      </c>
      <c r="AK4" s="84">
        <v>67</v>
      </c>
      <c r="AL4" s="82">
        <v>2.93</v>
      </c>
      <c r="AM4" s="171">
        <v>67</v>
      </c>
      <c r="AN4" s="58">
        <v>45782</v>
      </c>
      <c r="AO4" s="12">
        <v>178</v>
      </c>
      <c r="AP4" s="82">
        <v>62.07</v>
      </c>
      <c r="AQ4" s="82">
        <v>2.87</v>
      </c>
      <c r="AR4" s="82">
        <v>69</v>
      </c>
      <c r="AS4" s="58">
        <v>45779</v>
      </c>
    </row>
    <row r="5" spans="1:45" x14ac:dyDescent="0.3">
      <c r="A5" s="12">
        <v>13</v>
      </c>
      <c r="B5" s="79">
        <v>3.33</v>
      </c>
      <c r="C5" s="80">
        <v>3.9</v>
      </c>
      <c r="D5" s="84">
        <v>61</v>
      </c>
      <c r="E5" s="58">
        <v>45807</v>
      </c>
      <c r="F5" s="12">
        <v>19</v>
      </c>
      <c r="G5" s="15">
        <v>4.68</v>
      </c>
      <c r="H5" s="14">
        <v>4.0599999999999996</v>
      </c>
      <c r="I5" s="85">
        <v>50</v>
      </c>
      <c r="J5" s="118">
        <v>45765</v>
      </c>
      <c r="K5" s="12">
        <v>14</v>
      </c>
      <c r="L5" s="14">
        <v>3.73</v>
      </c>
      <c r="M5" s="80">
        <v>3.75</v>
      </c>
      <c r="N5" s="85">
        <v>54</v>
      </c>
      <c r="O5" s="58">
        <v>45717</v>
      </c>
      <c r="P5" s="12">
        <v>42</v>
      </c>
      <c r="Q5" s="81">
        <v>16.5</v>
      </c>
      <c r="R5" s="171">
        <v>2.5499999999999998</v>
      </c>
      <c r="S5" s="84">
        <v>58</v>
      </c>
      <c r="T5" s="58">
        <v>45804</v>
      </c>
      <c r="U5" s="12">
        <v>88</v>
      </c>
      <c r="V5" s="88">
        <v>26.13</v>
      </c>
      <c r="W5" s="81">
        <v>3.37</v>
      </c>
      <c r="X5" s="85">
        <v>56</v>
      </c>
      <c r="Y5" s="118">
        <v>45777</v>
      </c>
      <c r="Z5" s="12">
        <v>56</v>
      </c>
      <c r="AA5" s="16">
        <v>17.850000000000001</v>
      </c>
      <c r="AB5" s="16">
        <v>3.14</v>
      </c>
      <c r="AC5" s="171">
        <v>68</v>
      </c>
      <c r="AD5" s="58">
        <v>45809</v>
      </c>
      <c r="AE5" s="12">
        <v>147</v>
      </c>
      <c r="AF5" s="16">
        <v>58.92</v>
      </c>
      <c r="AG5" s="84">
        <v>2.4900000000000002</v>
      </c>
      <c r="AH5" s="171">
        <v>63</v>
      </c>
      <c r="AI5" s="58">
        <v>45761</v>
      </c>
      <c r="AJ5" s="12">
        <v>171</v>
      </c>
      <c r="AK5" s="16">
        <v>59.24</v>
      </c>
      <c r="AL5" s="82">
        <v>2.89</v>
      </c>
      <c r="AM5" s="82">
        <v>72</v>
      </c>
      <c r="AN5" s="58">
        <v>45801</v>
      </c>
      <c r="AO5" s="12">
        <v>199</v>
      </c>
      <c r="AP5" s="84">
        <v>66.760000000000005</v>
      </c>
      <c r="AQ5" s="82">
        <v>2.98</v>
      </c>
      <c r="AR5" s="171">
        <v>68</v>
      </c>
      <c r="AS5" s="58">
        <v>45779</v>
      </c>
    </row>
    <row r="6" spans="1:45" x14ac:dyDescent="0.3">
      <c r="A6" s="12">
        <v>13</v>
      </c>
      <c r="B6" s="79">
        <v>3.34</v>
      </c>
      <c r="C6" s="80">
        <v>3.89</v>
      </c>
      <c r="D6" s="84">
        <v>60</v>
      </c>
      <c r="E6" s="58">
        <v>45810</v>
      </c>
      <c r="F6" s="12">
        <v>24</v>
      </c>
      <c r="G6" s="16">
        <v>5.93</v>
      </c>
      <c r="H6" s="14">
        <v>4.05</v>
      </c>
      <c r="I6" s="86">
        <v>42</v>
      </c>
      <c r="J6" s="118">
        <v>45766</v>
      </c>
      <c r="K6" s="12">
        <v>11</v>
      </c>
      <c r="L6" s="79">
        <v>3.28</v>
      </c>
      <c r="M6" s="81">
        <v>3.35</v>
      </c>
      <c r="N6" s="85">
        <v>53</v>
      </c>
      <c r="O6" s="58">
        <v>45762</v>
      </c>
      <c r="P6" s="12">
        <v>38</v>
      </c>
      <c r="Q6" s="81">
        <v>16.78</v>
      </c>
      <c r="R6" s="84">
        <v>2.2599999999999998</v>
      </c>
      <c r="S6" s="85">
        <v>51</v>
      </c>
      <c r="T6" s="58">
        <v>45776</v>
      </c>
      <c r="U6" s="12">
        <v>93</v>
      </c>
      <c r="V6" s="88">
        <v>27.82</v>
      </c>
      <c r="W6" s="81">
        <v>3.34</v>
      </c>
      <c r="X6" s="85">
        <v>53</v>
      </c>
      <c r="Y6" s="118">
        <v>45780</v>
      </c>
      <c r="Z6" s="12">
        <v>61</v>
      </c>
      <c r="AA6" s="171">
        <v>19.22</v>
      </c>
      <c r="AB6" s="16">
        <v>3.17</v>
      </c>
      <c r="AC6" s="171">
        <v>65</v>
      </c>
      <c r="AD6" s="58">
        <v>45767</v>
      </c>
      <c r="AE6" s="12">
        <v>123</v>
      </c>
      <c r="AF6" s="16">
        <v>58.97</v>
      </c>
      <c r="AG6" s="85">
        <v>2.09</v>
      </c>
      <c r="AH6" s="85">
        <v>52</v>
      </c>
      <c r="AI6" s="58">
        <v>45775</v>
      </c>
      <c r="AJ6" s="12">
        <v>178</v>
      </c>
      <c r="AK6" s="82">
        <v>62.07</v>
      </c>
      <c r="AL6" s="82">
        <v>2.87</v>
      </c>
      <c r="AM6" s="82">
        <v>69</v>
      </c>
      <c r="AN6" s="58">
        <v>45779</v>
      </c>
      <c r="AO6" s="12">
        <v>172</v>
      </c>
      <c r="AP6" s="82">
        <v>61.62</v>
      </c>
      <c r="AQ6" s="82">
        <v>2.79</v>
      </c>
      <c r="AR6" s="171">
        <v>68</v>
      </c>
      <c r="AS6" s="58">
        <v>45783</v>
      </c>
    </row>
    <row r="7" spans="1:45" x14ac:dyDescent="0.3">
      <c r="A7" s="12">
        <v>10</v>
      </c>
      <c r="B7" s="79">
        <v>3.42</v>
      </c>
      <c r="C7" s="82">
        <v>2.92</v>
      </c>
      <c r="D7" s="86">
        <v>45</v>
      </c>
      <c r="E7" s="58">
        <v>45704</v>
      </c>
      <c r="F7" s="12">
        <v>25</v>
      </c>
      <c r="G7" s="82">
        <v>6.18</v>
      </c>
      <c r="H7" s="14">
        <v>4.05</v>
      </c>
      <c r="I7" s="86">
        <v>41</v>
      </c>
      <c r="J7" s="118">
        <v>45763</v>
      </c>
      <c r="K7" s="12">
        <v>14</v>
      </c>
      <c r="L7" s="14">
        <v>3.82</v>
      </c>
      <c r="M7" s="15">
        <v>3.66</v>
      </c>
      <c r="N7" s="85">
        <v>52</v>
      </c>
      <c r="O7" s="58">
        <v>45766</v>
      </c>
      <c r="P7" s="12">
        <v>42</v>
      </c>
      <c r="Q7" s="81">
        <v>16.86</v>
      </c>
      <c r="R7" s="84">
        <v>2.4900000000000002</v>
      </c>
      <c r="S7" s="85">
        <v>56</v>
      </c>
      <c r="T7" s="58">
        <v>45716</v>
      </c>
      <c r="U7" s="12">
        <v>72</v>
      </c>
      <c r="V7" s="85">
        <v>21.66</v>
      </c>
      <c r="W7" s="81">
        <v>3.32</v>
      </c>
      <c r="X7" s="171">
        <v>63</v>
      </c>
      <c r="Y7" s="118">
        <v>45716</v>
      </c>
      <c r="Z7" s="12">
        <v>66</v>
      </c>
      <c r="AA7" s="84">
        <v>20.149999999999999</v>
      </c>
      <c r="AB7" s="81">
        <v>3.28</v>
      </c>
      <c r="AC7" s="171">
        <v>65</v>
      </c>
      <c r="AD7" s="58">
        <v>45800</v>
      </c>
      <c r="AE7" s="12">
        <v>128</v>
      </c>
      <c r="AF7" s="16">
        <v>59.12</v>
      </c>
      <c r="AG7" s="85">
        <v>2.17</v>
      </c>
      <c r="AH7" s="85">
        <v>54</v>
      </c>
      <c r="AI7" s="58">
        <v>45750</v>
      </c>
      <c r="AJ7" s="12">
        <v>196</v>
      </c>
      <c r="AK7" s="85">
        <v>68.77</v>
      </c>
      <c r="AL7" s="82">
        <v>2.85</v>
      </c>
      <c r="AM7" s="171">
        <v>64</v>
      </c>
      <c r="AN7" s="58">
        <v>45768</v>
      </c>
      <c r="AO7" s="12">
        <v>196</v>
      </c>
      <c r="AP7" s="84">
        <v>67</v>
      </c>
      <c r="AQ7" s="82">
        <v>2.93</v>
      </c>
      <c r="AR7" s="171">
        <v>67</v>
      </c>
      <c r="AS7" s="58">
        <v>45782</v>
      </c>
    </row>
    <row r="8" spans="1:45" x14ac:dyDescent="0.3">
      <c r="A8" s="12">
        <v>10</v>
      </c>
      <c r="B8" s="79">
        <v>3.43</v>
      </c>
      <c r="C8" s="82">
        <v>2.92</v>
      </c>
      <c r="D8" s="86">
        <v>44</v>
      </c>
      <c r="E8" s="58">
        <v>45763</v>
      </c>
      <c r="F8" s="12">
        <v>18</v>
      </c>
      <c r="G8" s="15">
        <v>4.58</v>
      </c>
      <c r="H8" s="80">
        <v>3.93</v>
      </c>
      <c r="I8" s="86">
        <v>49</v>
      </c>
      <c r="J8" s="118">
        <v>45810</v>
      </c>
      <c r="K8" s="12">
        <v>15</v>
      </c>
      <c r="L8" s="14">
        <v>3.98</v>
      </c>
      <c r="M8" s="80">
        <v>3.77</v>
      </c>
      <c r="N8" s="85">
        <v>52</v>
      </c>
      <c r="O8" s="58">
        <v>45762</v>
      </c>
      <c r="P8" s="12">
        <v>53</v>
      </c>
      <c r="Q8" s="16">
        <v>17.190000000000001</v>
      </c>
      <c r="R8" s="16">
        <v>3.08</v>
      </c>
      <c r="S8" s="171">
        <v>68</v>
      </c>
      <c r="T8" s="58">
        <v>45805</v>
      </c>
      <c r="U8" s="12">
        <v>66</v>
      </c>
      <c r="V8" s="84">
        <v>20.149999999999999</v>
      </c>
      <c r="W8" s="81">
        <v>3.28</v>
      </c>
      <c r="X8" s="171">
        <v>65</v>
      </c>
      <c r="Y8" s="118">
        <v>45800</v>
      </c>
      <c r="Z8" s="12">
        <v>55</v>
      </c>
      <c r="AA8" s="82">
        <v>18.420000000000002</v>
      </c>
      <c r="AB8" s="82">
        <v>2.99</v>
      </c>
      <c r="AC8" s="171">
        <v>63</v>
      </c>
      <c r="AD8" s="58">
        <v>45755</v>
      </c>
      <c r="AE8" s="12">
        <v>171</v>
      </c>
      <c r="AF8" s="16">
        <v>59.24</v>
      </c>
      <c r="AG8" s="82">
        <v>2.89</v>
      </c>
      <c r="AH8" s="82">
        <v>72</v>
      </c>
      <c r="AI8" s="58">
        <v>45801</v>
      </c>
      <c r="AJ8" s="12">
        <v>224</v>
      </c>
      <c r="AK8" s="87">
        <v>78.69</v>
      </c>
      <c r="AL8" s="82">
        <v>2.85</v>
      </c>
      <c r="AM8" s="84">
        <v>58</v>
      </c>
      <c r="AN8" s="58">
        <v>45785</v>
      </c>
      <c r="AO8" s="12">
        <v>158</v>
      </c>
      <c r="AP8" s="16">
        <v>59.51</v>
      </c>
      <c r="AQ8" s="171">
        <v>2.66</v>
      </c>
      <c r="AR8" s="171">
        <v>66</v>
      </c>
      <c r="AS8" s="58">
        <v>45809</v>
      </c>
    </row>
    <row r="9" spans="1:45" x14ac:dyDescent="0.3">
      <c r="A9" s="12">
        <v>11</v>
      </c>
      <c r="B9" s="79">
        <v>3.45</v>
      </c>
      <c r="C9" s="16">
        <v>3.19</v>
      </c>
      <c r="D9" s="86">
        <v>48</v>
      </c>
      <c r="E9" s="58">
        <v>45762</v>
      </c>
      <c r="F9" s="12">
        <v>20</v>
      </c>
      <c r="G9" s="81">
        <v>5.09</v>
      </c>
      <c r="H9" s="80">
        <v>3.93</v>
      </c>
      <c r="I9" s="86">
        <v>45</v>
      </c>
      <c r="J9" s="118">
        <v>45706</v>
      </c>
      <c r="K9" s="12">
        <v>14</v>
      </c>
      <c r="L9" s="14">
        <v>3.85</v>
      </c>
      <c r="M9" s="15">
        <v>3.64</v>
      </c>
      <c r="N9" s="85">
        <v>51</v>
      </c>
      <c r="O9" s="58">
        <v>45761</v>
      </c>
      <c r="P9" s="12">
        <v>49</v>
      </c>
      <c r="Q9" s="16">
        <v>17.489999999999998</v>
      </c>
      <c r="R9" s="82">
        <v>2.8</v>
      </c>
      <c r="S9" s="84">
        <v>61</v>
      </c>
      <c r="T9" s="58">
        <v>45761</v>
      </c>
      <c r="U9" s="12">
        <v>92</v>
      </c>
      <c r="V9" s="168">
        <v>28.26</v>
      </c>
      <c r="W9" s="81">
        <v>3.26</v>
      </c>
      <c r="X9" s="85">
        <v>51</v>
      </c>
      <c r="Y9" s="118">
        <v>45805</v>
      </c>
      <c r="Z9" s="12">
        <v>72</v>
      </c>
      <c r="AA9" s="85">
        <v>21.66</v>
      </c>
      <c r="AB9" s="81">
        <v>3.32</v>
      </c>
      <c r="AC9" s="171">
        <v>63</v>
      </c>
      <c r="AD9" s="58">
        <v>45716</v>
      </c>
      <c r="AE9" s="12">
        <v>140</v>
      </c>
      <c r="AF9" s="16">
        <v>59.44</v>
      </c>
      <c r="AG9" s="84">
        <v>2.36</v>
      </c>
      <c r="AH9" s="84">
        <v>59</v>
      </c>
      <c r="AI9" s="58">
        <v>45767</v>
      </c>
      <c r="AJ9" s="12">
        <v>221</v>
      </c>
      <c r="AK9" s="87">
        <v>77.930000000000007</v>
      </c>
      <c r="AL9" s="82">
        <v>2.84</v>
      </c>
      <c r="AM9" s="84">
        <v>58</v>
      </c>
      <c r="AN9" s="58">
        <v>45733</v>
      </c>
      <c r="AO9" s="12">
        <v>152</v>
      </c>
      <c r="AP9" s="16">
        <v>58.2</v>
      </c>
      <c r="AQ9" s="171">
        <v>2.61</v>
      </c>
      <c r="AR9" s="171">
        <v>66</v>
      </c>
      <c r="AS9" s="58">
        <v>45779</v>
      </c>
    </row>
    <row r="10" spans="1:45" x14ac:dyDescent="0.3">
      <c r="A10" s="12">
        <v>11</v>
      </c>
      <c r="B10" s="79">
        <v>3.47</v>
      </c>
      <c r="C10" s="16">
        <v>3.17</v>
      </c>
      <c r="D10" s="86">
        <v>48</v>
      </c>
      <c r="E10" s="58">
        <v>45717</v>
      </c>
      <c r="F10" s="12">
        <v>21</v>
      </c>
      <c r="G10" s="81">
        <v>5.35</v>
      </c>
      <c r="H10" s="80">
        <v>3.93</v>
      </c>
      <c r="I10" s="86">
        <v>44</v>
      </c>
      <c r="J10" s="118">
        <v>45810</v>
      </c>
      <c r="K10" s="12">
        <v>12</v>
      </c>
      <c r="L10" s="14">
        <v>3.54</v>
      </c>
      <c r="M10" s="81">
        <v>3.39</v>
      </c>
      <c r="N10" s="85">
        <v>50</v>
      </c>
      <c r="O10" s="58">
        <v>45810</v>
      </c>
      <c r="P10" s="12">
        <v>46</v>
      </c>
      <c r="Q10" s="16">
        <v>17.600000000000001</v>
      </c>
      <c r="R10" s="171">
        <v>2.61</v>
      </c>
      <c r="S10" s="84">
        <v>57</v>
      </c>
      <c r="T10" s="58">
        <v>45711</v>
      </c>
      <c r="U10" s="12">
        <v>60</v>
      </c>
      <c r="V10" s="82">
        <v>18.440000000000001</v>
      </c>
      <c r="W10" s="81">
        <v>3.25</v>
      </c>
      <c r="X10" s="82">
        <v>69</v>
      </c>
      <c r="Y10" s="118">
        <v>45810</v>
      </c>
      <c r="Z10" s="12">
        <v>67</v>
      </c>
      <c r="AA10" s="84">
        <v>20.81</v>
      </c>
      <c r="AB10" s="16">
        <v>3.22</v>
      </c>
      <c r="AC10" s="84">
        <v>62</v>
      </c>
      <c r="AD10" s="58">
        <v>45805</v>
      </c>
      <c r="AE10" s="12">
        <v>158</v>
      </c>
      <c r="AF10" s="16">
        <v>59.51</v>
      </c>
      <c r="AG10" s="171">
        <v>2.66</v>
      </c>
      <c r="AH10" s="171">
        <v>66</v>
      </c>
      <c r="AI10" s="58">
        <v>45809</v>
      </c>
      <c r="AJ10" s="12">
        <v>207</v>
      </c>
      <c r="AK10" s="86">
        <v>73.41</v>
      </c>
      <c r="AL10" s="82">
        <v>2.82</v>
      </c>
      <c r="AM10" s="84">
        <v>61</v>
      </c>
      <c r="AN10" s="58">
        <v>45772</v>
      </c>
      <c r="AO10" s="12">
        <v>160</v>
      </c>
      <c r="AP10" s="82">
        <v>60.12</v>
      </c>
      <c r="AQ10" s="171">
        <v>2.66</v>
      </c>
      <c r="AR10" s="171">
        <v>66</v>
      </c>
      <c r="AS10" s="58">
        <v>45772</v>
      </c>
    </row>
    <row r="11" spans="1:45" x14ac:dyDescent="0.3">
      <c r="A11" s="12">
        <v>11</v>
      </c>
      <c r="B11" s="14">
        <v>3.53</v>
      </c>
      <c r="C11" s="16">
        <v>3.12</v>
      </c>
      <c r="D11" s="86">
        <v>46</v>
      </c>
      <c r="E11" s="58">
        <v>45765</v>
      </c>
      <c r="F11" s="12">
        <v>27</v>
      </c>
      <c r="G11" s="171">
        <v>6.88</v>
      </c>
      <c r="H11" s="80">
        <v>3.92</v>
      </c>
      <c r="I11" s="87">
        <v>37</v>
      </c>
      <c r="J11" s="118">
        <v>45765</v>
      </c>
      <c r="K11" s="12">
        <v>12</v>
      </c>
      <c r="L11" s="14">
        <v>3.56</v>
      </c>
      <c r="M11" s="81">
        <v>3.37</v>
      </c>
      <c r="N11" s="85">
        <v>50</v>
      </c>
      <c r="O11" s="58">
        <v>45762</v>
      </c>
      <c r="P11" s="12">
        <v>56</v>
      </c>
      <c r="Q11" s="16">
        <v>17.850000000000001</v>
      </c>
      <c r="R11" s="16">
        <v>3.14</v>
      </c>
      <c r="S11" s="171">
        <v>68</v>
      </c>
      <c r="T11" s="58">
        <v>45809</v>
      </c>
      <c r="U11" s="12">
        <v>83</v>
      </c>
      <c r="V11" s="87">
        <v>25.67</v>
      </c>
      <c r="W11" s="16">
        <v>3.23</v>
      </c>
      <c r="X11" s="85">
        <v>54</v>
      </c>
      <c r="Y11" s="118">
        <v>45767</v>
      </c>
      <c r="Z11" s="12">
        <v>80</v>
      </c>
      <c r="AA11" s="86">
        <v>23.28</v>
      </c>
      <c r="AB11" s="81">
        <v>3.44</v>
      </c>
      <c r="AC11" s="84">
        <v>61</v>
      </c>
      <c r="AD11" s="58">
        <v>45810</v>
      </c>
      <c r="AE11" s="12">
        <v>137</v>
      </c>
      <c r="AF11" s="82">
        <v>60.09</v>
      </c>
      <c r="AG11" s="84">
        <v>2.2799999999999998</v>
      </c>
      <c r="AH11" s="85">
        <v>56</v>
      </c>
      <c r="AI11" s="58">
        <v>45761</v>
      </c>
      <c r="AJ11" s="12">
        <v>220</v>
      </c>
      <c r="AK11" s="87">
        <v>78.48</v>
      </c>
      <c r="AL11" s="82">
        <v>2.8</v>
      </c>
      <c r="AM11" s="84">
        <v>58</v>
      </c>
      <c r="AN11" s="58">
        <v>45790</v>
      </c>
      <c r="AO11" s="12">
        <v>166</v>
      </c>
      <c r="AP11" s="82">
        <v>61.71</v>
      </c>
      <c r="AQ11" s="171">
        <v>2.69</v>
      </c>
      <c r="AR11" s="171">
        <v>65</v>
      </c>
      <c r="AS11" s="58">
        <v>45809</v>
      </c>
    </row>
    <row r="12" spans="1:45" x14ac:dyDescent="0.3">
      <c r="A12" s="12">
        <v>12</v>
      </c>
      <c r="B12" s="14">
        <v>3.54</v>
      </c>
      <c r="C12" s="81">
        <v>3.39</v>
      </c>
      <c r="D12" s="85">
        <v>50</v>
      </c>
      <c r="E12" s="58">
        <v>45810</v>
      </c>
      <c r="F12" s="12">
        <v>27</v>
      </c>
      <c r="G12" s="171">
        <v>6.9</v>
      </c>
      <c r="H12" s="80">
        <v>3.91</v>
      </c>
      <c r="I12" s="87">
        <v>36</v>
      </c>
      <c r="J12" s="118">
        <v>45761</v>
      </c>
      <c r="K12" s="12">
        <v>20</v>
      </c>
      <c r="L12" s="15">
        <v>4.8099999999999996</v>
      </c>
      <c r="M12" s="14">
        <v>4.16</v>
      </c>
      <c r="N12" s="85">
        <v>50</v>
      </c>
      <c r="O12" s="58">
        <v>45762</v>
      </c>
      <c r="P12" s="12">
        <v>48</v>
      </c>
      <c r="Q12" s="16">
        <v>17.88</v>
      </c>
      <c r="R12" s="171">
        <v>2.68</v>
      </c>
      <c r="S12" s="84">
        <v>58</v>
      </c>
      <c r="T12" s="58">
        <v>45711</v>
      </c>
      <c r="U12" s="12">
        <v>78</v>
      </c>
      <c r="V12" s="87">
        <v>24.13</v>
      </c>
      <c r="W12" s="16">
        <v>3.23</v>
      </c>
      <c r="X12" s="85">
        <v>56</v>
      </c>
      <c r="Y12" s="118">
        <v>45763</v>
      </c>
      <c r="Z12" s="12">
        <v>52</v>
      </c>
      <c r="AA12" s="82">
        <v>18.100000000000001</v>
      </c>
      <c r="AB12" s="82">
        <v>2.87</v>
      </c>
      <c r="AC12" s="84">
        <v>61</v>
      </c>
      <c r="AD12" s="58">
        <v>45805</v>
      </c>
      <c r="AE12" s="12">
        <v>160</v>
      </c>
      <c r="AF12" s="82">
        <v>60.12</v>
      </c>
      <c r="AG12" s="171">
        <v>2.66</v>
      </c>
      <c r="AH12" s="171">
        <v>66</v>
      </c>
      <c r="AI12" s="58">
        <v>45772</v>
      </c>
      <c r="AJ12" s="12">
        <v>172</v>
      </c>
      <c r="AK12" s="82">
        <v>61.62</v>
      </c>
      <c r="AL12" s="82">
        <v>2.79</v>
      </c>
      <c r="AM12" s="171">
        <v>68</v>
      </c>
      <c r="AN12" s="58">
        <v>45783</v>
      </c>
      <c r="AO12" s="12">
        <v>172</v>
      </c>
      <c r="AP12" s="171">
        <v>63.04</v>
      </c>
      <c r="AQ12" s="171">
        <v>2.73</v>
      </c>
      <c r="AR12" s="171">
        <v>65</v>
      </c>
      <c r="AS12" s="58">
        <v>45805</v>
      </c>
    </row>
    <row r="13" spans="1:45" x14ac:dyDescent="0.3">
      <c r="A13" s="12">
        <v>12</v>
      </c>
      <c r="B13" s="14">
        <v>3.56</v>
      </c>
      <c r="C13" s="81">
        <v>3.37</v>
      </c>
      <c r="D13" s="85">
        <v>50</v>
      </c>
      <c r="E13" s="58">
        <v>45762</v>
      </c>
      <c r="F13" s="12">
        <v>13</v>
      </c>
      <c r="G13" s="79">
        <v>3.33</v>
      </c>
      <c r="H13" s="80">
        <v>3.9</v>
      </c>
      <c r="I13" s="84">
        <v>61</v>
      </c>
      <c r="J13" s="118">
        <v>45807</v>
      </c>
      <c r="K13" s="12">
        <v>15</v>
      </c>
      <c r="L13" s="80">
        <v>4.07</v>
      </c>
      <c r="M13" s="15">
        <v>3.69</v>
      </c>
      <c r="N13" s="85">
        <v>50</v>
      </c>
      <c r="O13" s="58">
        <v>45706</v>
      </c>
      <c r="P13" s="12">
        <v>52</v>
      </c>
      <c r="Q13" s="82">
        <v>18.100000000000001</v>
      </c>
      <c r="R13" s="82">
        <v>2.87</v>
      </c>
      <c r="S13" s="84">
        <v>61</v>
      </c>
      <c r="T13" s="58">
        <v>45805</v>
      </c>
      <c r="U13" s="12">
        <v>75</v>
      </c>
      <c r="V13" s="86">
        <v>23.26</v>
      </c>
      <c r="W13" s="16">
        <v>3.22</v>
      </c>
      <c r="X13" s="84">
        <v>58</v>
      </c>
      <c r="Y13" s="118">
        <v>45793</v>
      </c>
      <c r="Z13" s="12">
        <v>49</v>
      </c>
      <c r="AA13" s="16">
        <v>17.489999999999998</v>
      </c>
      <c r="AB13" s="82">
        <v>2.8</v>
      </c>
      <c r="AC13" s="84">
        <v>61</v>
      </c>
      <c r="AD13" s="58">
        <v>45761</v>
      </c>
      <c r="AE13" s="12">
        <v>119</v>
      </c>
      <c r="AF13" s="82">
        <v>60.31</v>
      </c>
      <c r="AG13" s="86">
        <v>1.97</v>
      </c>
      <c r="AH13" s="86">
        <v>49</v>
      </c>
      <c r="AI13" s="58">
        <v>45753</v>
      </c>
      <c r="AJ13" s="12">
        <v>194</v>
      </c>
      <c r="AK13" s="85">
        <v>69.680000000000007</v>
      </c>
      <c r="AL13" s="82">
        <v>2.78</v>
      </c>
      <c r="AM13" s="84">
        <v>62</v>
      </c>
      <c r="AN13" s="58">
        <v>45807</v>
      </c>
      <c r="AO13" s="12">
        <v>177</v>
      </c>
      <c r="AP13" s="171">
        <v>64.41</v>
      </c>
      <c r="AQ13" s="82">
        <v>2.75</v>
      </c>
      <c r="AR13" s="171">
        <v>65</v>
      </c>
      <c r="AS13" s="58">
        <v>45783</v>
      </c>
    </row>
    <row r="14" spans="1:45" x14ac:dyDescent="0.3">
      <c r="A14" s="98">
        <v>10</v>
      </c>
      <c r="B14" s="294">
        <v>3.56</v>
      </c>
      <c r="C14" s="295">
        <v>2.81</v>
      </c>
      <c r="D14" s="292">
        <v>42</v>
      </c>
      <c r="E14" s="121">
        <v>45761</v>
      </c>
      <c r="F14" s="98">
        <v>22</v>
      </c>
      <c r="G14" s="290">
        <v>5.64</v>
      </c>
      <c r="H14" s="291">
        <v>3.9</v>
      </c>
      <c r="I14" s="292">
        <v>42</v>
      </c>
      <c r="J14" s="116">
        <v>45804</v>
      </c>
      <c r="K14" s="98">
        <v>19</v>
      </c>
      <c r="L14" s="313">
        <v>4.68</v>
      </c>
      <c r="M14" s="294">
        <v>4.0599999999999996</v>
      </c>
      <c r="N14" s="314">
        <v>50</v>
      </c>
      <c r="O14" s="121">
        <v>45765</v>
      </c>
      <c r="P14" s="98">
        <v>43</v>
      </c>
      <c r="Q14" s="295">
        <v>18.2</v>
      </c>
      <c r="R14" s="293">
        <v>2.36</v>
      </c>
      <c r="S14" s="314">
        <v>50</v>
      </c>
      <c r="T14" s="121">
        <v>45810</v>
      </c>
      <c r="U14" s="12">
        <v>67</v>
      </c>
      <c r="V14" s="84">
        <v>20.81</v>
      </c>
      <c r="W14" s="16">
        <v>3.22</v>
      </c>
      <c r="X14" s="84">
        <v>62</v>
      </c>
      <c r="Y14" s="118">
        <v>45805</v>
      </c>
      <c r="Z14" s="12">
        <v>58</v>
      </c>
      <c r="AA14" s="171">
        <v>19.34</v>
      </c>
      <c r="AB14" s="16">
        <v>3</v>
      </c>
      <c r="AC14" s="84">
        <v>61</v>
      </c>
      <c r="AD14" s="58">
        <v>45805</v>
      </c>
      <c r="AE14" s="12">
        <v>149</v>
      </c>
      <c r="AF14" s="82">
        <v>61.12</v>
      </c>
      <c r="AG14" s="84">
        <v>2.44</v>
      </c>
      <c r="AH14" s="84">
        <v>60</v>
      </c>
      <c r="AI14" s="58">
        <v>45768</v>
      </c>
      <c r="AJ14" s="12">
        <v>183</v>
      </c>
      <c r="AK14" s="84">
        <v>65.73</v>
      </c>
      <c r="AL14" s="82">
        <v>2.78</v>
      </c>
      <c r="AM14" s="171">
        <v>65</v>
      </c>
      <c r="AN14" s="58">
        <v>45806</v>
      </c>
      <c r="AO14" s="12">
        <v>183</v>
      </c>
      <c r="AP14" s="84">
        <v>65.73</v>
      </c>
      <c r="AQ14" s="82">
        <v>2.78</v>
      </c>
      <c r="AR14" s="171">
        <v>65</v>
      </c>
      <c r="AS14" s="58">
        <v>45806</v>
      </c>
    </row>
    <row r="15" spans="1:45" x14ac:dyDescent="0.3">
      <c r="A15" s="12">
        <v>11</v>
      </c>
      <c r="B15" s="14">
        <v>3.58</v>
      </c>
      <c r="C15" s="16">
        <v>3.07</v>
      </c>
      <c r="D15" s="86">
        <v>45</v>
      </c>
      <c r="E15" s="58">
        <v>45765</v>
      </c>
      <c r="F15" s="12">
        <v>25</v>
      </c>
      <c r="G15" s="82">
        <v>6.41</v>
      </c>
      <c r="H15" s="80">
        <v>3.9</v>
      </c>
      <c r="I15" s="86">
        <v>38</v>
      </c>
      <c r="J15" s="118">
        <v>45712</v>
      </c>
      <c r="K15" s="12">
        <v>15</v>
      </c>
      <c r="L15" s="80">
        <v>4.08</v>
      </c>
      <c r="M15" s="15">
        <v>3.68</v>
      </c>
      <c r="N15" s="86">
        <v>49</v>
      </c>
      <c r="O15" s="58">
        <v>45756</v>
      </c>
      <c r="P15" s="12">
        <v>49</v>
      </c>
      <c r="Q15" s="82">
        <v>18.2</v>
      </c>
      <c r="R15" s="171">
        <v>2.69</v>
      </c>
      <c r="S15" s="84">
        <v>57</v>
      </c>
      <c r="T15" s="58">
        <v>45764</v>
      </c>
      <c r="U15" s="12">
        <v>61</v>
      </c>
      <c r="V15" s="171">
        <v>19.22</v>
      </c>
      <c r="W15" s="16">
        <v>3.17</v>
      </c>
      <c r="X15" s="171">
        <v>65</v>
      </c>
      <c r="Y15" s="118">
        <v>45767</v>
      </c>
      <c r="Z15" s="12">
        <v>65</v>
      </c>
      <c r="AA15" s="84">
        <v>20.74</v>
      </c>
      <c r="AB15" s="16">
        <v>3.13</v>
      </c>
      <c r="AC15" s="84">
        <v>61</v>
      </c>
      <c r="AD15" s="58">
        <v>45763</v>
      </c>
      <c r="AE15" s="12">
        <v>148</v>
      </c>
      <c r="AF15" s="82">
        <v>61.2</v>
      </c>
      <c r="AG15" s="84">
        <v>2.42</v>
      </c>
      <c r="AH15" s="84">
        <v>59</v>
      </c>
      <c r="AI15" s="58">
        <v>45785</v>
      </c>
      <c r="AJ15" s="12">
        <v>188</v>
      </c>
      <c r="AK15" s="85">
        <v>67.63</v>
      </c>
      <c r="AL15" s="82">
        <v>2.78</v>
      </c>
      <c r="AM15" s="171">
        <v>63</v>
      </c>
      <c r="AN15" s="58">
        <v>45807</v>
      </c>
      <c r="AO15" s="12">
        <v>181</v>
      </c>
      <c r="AP15" s="84">
        <v>65.5</v>
      </c>
      <c r="AQ15" s="82">
        <v>2.76</v>
      </c>
      <c r="AR15" s="171">
        <v>64</v>
      </c>
      <c r="AS15" s="58">
        <v>45808</v>
      </c>
    </row>
    <row r="16" spans="1:45" x14ac:dyDescent="0.3">
      <c r="A16" s="12">
        <v>10</v>
      </c>
      <c r="B16" s="14">
        <v>3.58</v>
      </c>
      <c r="C16" s="82">
        <v>2.79</v>
      </c>
      <c r="D16" s="86">
        <v>41</v>
      </c>
      <c r="E16" s="58">
        <v>45716</v>
      </c>
      <c r="F16" s="12">
        <v>13</v>
      </c>
      <c r="G16" s="79">
        <v>3.34</v>
      </c>
      <c r="H16" s="80">
        <v>3.89</v>
      </c>
      <c r="I16" s="84">
        <v>60</v>
      </c>
      <c r="J16" s="118">
        <v>45810</v>
      </c>
      <c r="K16" s="12">
        <v>27</v>
      </c>
      <c r="L16" s="16">
        <v>5.78</v>
      </c>
      <c r="M16" s="78">
        <v>4.67</v>
      </c>
      <c r="N16" s="86">
        <v>49</v>
      </c>
      <c r="O16" s="58">
        <v>45763</v>
      </c>
      <c r="P16" s="12">
        <v>50</v>
      </c>
      <c r="Q16" s="82">
        <v>18.2</v>
      </c>
      <c r="R16" s="82">
        <v>2.75</v>
      </c>
      <c r="S16" s="84">
        <v>58</v>
      </c>
      <c r="T16" s="58">
        <v>45763</v>
      </c>
      <c r="U16" s="12">
        <v>70</v>
      </c>
      <c r="V16" s="86">
        <v>22.06</v>
      </c>
      <c r="W16" s="16">
        <v>3.17</v>
      </c>
      <c r="X16" s="84">
        <v>59</v>
      </c>
      <c r="Y16" s="118">
        <v>45804</v>
      </c>
      <c r="Z16" s="12">
        <v>40</v>
      </c>
      <c r="AA16" s="15">
        <v>15.62</v>
      </c>
      <c r="AB16" s="171">
        <v>2.56</v>
      </c>
      <c r="AC16" s="84">
        <v>61</v>
      </c>
      <c r="AD16" s="58">
        <v>45766</v>
      </c>
      <c r="AE16" s="12">
        <v>152</v>
      </c>
      <c r="AF16" s="82">
        <v>61.36</v>
      </c>
      <c r="AG16" s="84">
        <v>2.48</v>
      </c>
      <c r="AH16" s="84">
        <v>60</v>
      </c>
      <c r="AI16" s="58">
        <v>45770</v>
      </c>
      <c r="AJ16" s="12">
        <v>192</v>
      </c>
      <c r="AK16" s="85">
        <v>69.11</v>
      </c>
      <c r="AL16" s="82">
        <v>2.78</v>
      </c>
      <c r="AM16" s="84">
        <v>62</v>
      </c>
      <c r="AN16" s="58">
        <v>45806</v>
      </c>
      <c r="AO16" s="12">
        <v>196</v>
      </c>
      <c r="AP16" s="85">
        <v>68.77</v>
      </c>
      <c r="AQ16" s="82">
        <v>2.85</v>
      </c>
      <c r="AR16" s="171">
        <v>64</v>
      </c>
      <c r="AS16" s="58">
        <v>45768</v>
      </c>
    </row>
    <row r="17" spans="1:42" x14ac:dyDescent="0.3">
      <c r="A17" s="79"/>
      <c r="B17" s="74"/>
      <c r="F17" s="79"/>
      <c r="G17" s="74"/>
      <c r="K17" s="79"/>
      <c r="L17" s="74"/>
      <c r="P17" s="79"/>
      <c r="Q17" s="143"/>
      <c r="U17" s="79"/>
      <c r="V17" s="143"/>
      <c r="Z17" s="79"/>
      <c r="AA17" s="143"/>
      <c r="AE17" s="79"/>
      <c r="AF17" s="143"/>
      <c r="AJ17" s="79"/>
      <c r="AK17" s="143"/>
      <c r="AO17" s="79"/>
      <c r="AP17" s="143"/>
    </row>
    <row r="18" spans="1:42" x14ac:dyDescent="0.3">
      <c r="B18" s="74"/>
      <c r="G18" s="74"/>
      <c r="L18" s="74"/>
      <c r="Q18" s="143"/>
      <c r="V18" s="143"/>
      <c r="AA18" s="143"/>
      <c r="AF18" s="143"/>
      <c r="AK18" s="143"/>
      <c r="AP18" s="143"/>
    </row>
    <row r="19" spans="1:42" x14ac:dyDescent="0.3">
      <c r="B19" s="74"/>
      <c r="G19" s="74"/>
      <c r="L19" s="74"/>
      <c r="Q19" s="143"/>
      <c r="V19" s="143"/>
      <c r="AA19" s="143"/>
      <c r="AF19" s="143"/>
      <c r="AK19" s="143"/>
      <c r="AP19" s="143"/>
    </row>
    <row r="20" spans="1:42" x14ac:dyDescent="0.3">
      <c r="B20" s="74"/>
      <c r="G20" s="74"/>
      <c r="L20" s="74"/>
      <c r="Q20" s="143"/>
      <c r="V20" s="143"/>
      <c r="AA20" s="143"/>
      <c r="AF20" s="143"/>
      <c r="AK20" s="143"/>
      <c r="AP20" s="143"/>
    </row>
    <row r="21" spans="1:42" x14ac:dyDescent="0.3">
      <c r="B21" s="74"/>
      <c r="G21" s="74"/>
      <c r="L21" s="74"/>
      <c r="Q21" s="143"/>
      <c r="V21" s="143"/>
      <c r="AA21" s="143"/>
      <c r="AF21" s="143"/>
      <c r="AK21" s="143"/>
      <c r="AP21" s="143"/>
    </row>
    <row r="22" spans="1:42" x14ac:dyDescent="0.3">
      <c r="B22" s="74"/>
      <c r="G22" s="74"/>
      <c r="L22" s="74"/>
      <c r="Q22" s="143"/>
      <c r="V22" s="143"/>
      <c r="AA22" s="143"/>
      <c r="AF22" s="143"/>
      <c r="AK22" s="143"/>
      <c r="AP22" s="143"/>
    </row>
    <row r="23" spans="1:42" x14ac:dyDescent="0.3">
      <c r="B23" s="74"/>
      <c r="G23" s="74"/>
      <c r="L23" s="74"/>
      <c r="Q23" s="143"/>
      <c r="V23" s="143"/>
      <c r="AA23" s="143"/>
      <c r="AF23" s="143"/>
      <c r="AK23" s="143"/>
      <c r="AP23" s="143"/>
    </row>
    <row r="24" spans="1:42" x14ac:dyDescent="0.3">
      <c r="B24" s="74"/>
      <c r="G24" s="74"/>
      <c r="L24" s="74"/>
      <c r="Q24" s="143"/>
      <c r="V24" s="143"/>
      <c r="AA24" s="143"/>
      <c r="AF24" s="143"/>
      <c r="AK24" s="143"/>
      <c r="AP24" s="143"/>
    </row>
    <row r="25" spans="1:42" x14ac:dyDescent="0.3">
      <c r="B25" s="74"/>
      <c r="G25" s="74"/>
      <c r="L25" s="74"/>
      <c r="Q25" s="143"/>
      <c r="V25" s="143"/>
      <c r="AA25" s="143"/>
      <c r="AF25" s="143"/>
      <c r="AK25" s="143"/>
      <c r="AP25" s="143"/>
    </row>
    <row r="26" spans="1:42" x14ac:dyDescent="0.3">
      <c r="B26" s="74"/>
      <c r="G26" s="74"/>
      <c r="L26" s="74"/>
      <c r="Q26" s="143"/>
      <c r="V26" s="143"/>
      <c r="AA26" s="143"/>
      <c r="AF26" s="143"/>
      <c r="AK26" s="143"/>
      <c r="AP26" s="143"/>
    </row>
    <row r="27" spans="1:42" x14ac:dyDescent="0.3">
      <c r="B27" s="74"/>
      <c r="G27" s="74"/>
      <c r="L27" s="74"/>
      <c r="Q27" s="143"/>
      <c r="V27" s="143"/>
      <c r="AA27" s="143"/>
      <c r="AF27" s="143"/>
      <c r="AK27" s="143"/>
      <c r="AP27" s="143"/>
    </row>
    <row r="28" spans="1:42" x14ac:dyDescent="0.3">
      <c r="A28" s="99"/>
      <c r="B28" s="296"/>
      <c r="C28" s="99"/>
      <c r="D28" s="99"/>
      <c r="E28" s="122"/>
      <c r="F28" s="99"/>
      <c r="G28" s="296"/>
      <c r="H28" s="99"/>
      <c r="I28" s="99"/>
      <c r="J28" s="117"/>
      <c r="K28" s="99"/>
      <c r="L28" s="296"/>
      <c r="M28" s="99"/>
      <c r="N28" s="99"/>
      <c r="O28" s="122"/>
      <c r="P28" s="99"/>
      <c r="Q28" s="297"/>
      <c r="R28" s="99"/>
      <c r="S28" s="99"/>
      <c r="T28" s="122"/>
      <c r="V28" s="143"/>
      <c r="AA28" s="143"/>
      <c r="AF28" s="143"/>
      <c r="AK28" s="143"/>
      <c r="AP28" s="143"/>
    </row>
    <row r="29" spans="1:42" x14ac:dyDescent="0.3">
      <c r="B29" s="74"/>
      <c r="G29" s="74"/>
      <c r="L29" s="74"/>
      <c r="Q29" s="143"/>
      <c r="V29" s="143"/>
      <c r="AA29" s="143"/>
      <c r="AF29" s="143"/>
      <c r="AK29" s="143"/>
      <c r="AP29" s="143"/>
    </row>
    <row r="30" spans="1:42" x14ac:dyDescent="0.3">
      <c r="B30" s="74"/>
      <c r="G30" s="74"/>
      <c r="L30" s="74"/>
      <c r="Q30" s="143"/>
      <c r="V30" s="143"/>
      <c r="AA30" s="143"/>
      <c r="AF30" s="143"/>
      <c r="AK30" s="143"/>
      <c r="AP30" s="143"/>
    </row>
    <row r="31" spans="1:42" x14ac:dyDescent="0.3">
      <c r="B31" s="74"/>
      <c r="G31" s="74"/>
      <c r="L31" s="74"/>
      <c r="Q31" s="143"/>
      <c r="V31" s="143"/>
      <c r="AA31" s="143"/>
      <c r="AF31" s="143"/>
      <c r="AK31" s="143"/>
      <c r="AP31" s="143"/>
    </row>
    <row r="32" spans="1:42" x14ac:dyDescent="0.3">
      <c r="A32" s="79"/>
      <c r="B32" s="74"/>
      <c r="F32" s="79"/>
      <c r="G32" s="74"/>
      <c r="K32" s="79"/>
      <c r="L32" s="74"/>
      <c r="P32" s="79"/>
      <c r="Q32" s="143"/>
      <c r="U32" s="79"/>
      <c r="V32" s="143"/>
      <c r="Z32" s="79"/>
      <c r="AA32" s="143"/>
      <c r="AE32" s="79"/>
      <c r="AF32" s="143"/>
      <c r="AJ32" s="79"/>
      <c r="AK32" s="143"/>
      <c r="AO32" s="79"/>
      <c r="AP32" s="143"/>
    </row>
    <row r="33" spans="1:42" x14ac:dyDescent="0.3">
      <c r="B33" s="74"/>
      <c r="G33" s="74"/>
      <c r="L33" s="74"/>
      <c r="Q33" s="143"/>
      <c r="V33" s="143"/>
      <c r="AA33" s="143"/>
      <c r="AF33" s="143"/>
      <c r="AK33" s="143"/>
      <c r="AP33" s="143"/>
    </row>
    <row r="34" spans="1:42" x14ac:dyDescent="0.3">
      <c r="B34" s="74"/>
      <c r="G34" s="74"/>
      <c r="L34" s="74"/>
      <c r="Q34" s="143"/>
      <c r="V34" s="143"/>
      <c r="AA34" s="143"/>
      <c r="AF34" s="143"/>
      <c r="AK34" s="143"/>
      <c r="AP34" s="143"/>
    </row>
    <row r="35" spans="1:42" x14ac:dyDescent="0.3">
      <c r="B35" s="74"/>
      <c r="G35" s="74"/>
      <c r="L35" s="74"/>
      <c r="Q35" s="143"/>
      <c r="V35" s="143"/>
      <c r="AA35" s="143"/>
      <c r="AF35" s="143"/>
      <c r="AK35" s="143"/>
      <c r="AP35" s="143"/>
    </row>
    <row r="36" spans="1:42" x14ac:dyDescent="0.3">
      <c r="B36" s="74"/>
      <c r="G36" s="74"/>
      <c r="L36" s="74"/>
      <c r="Q36" s="143"/>
      <c r="V36" s="143"/>
      <c r="AA36" s="143"/>
      <c r="AF36" s="143"/>
      <c r="AK36" s="143"/>
      <c r="AP36" s="143"/>
    </row>
    <row r="37" spans="1:42" x14ac:dyDescent="0.3">
      <c r="B37" s="74"/>
      <c r="G37" s="74"/>
      <c r="L37" s="74"/>
      <c r="Q37" s="143"/>
      <c r="V37" s="143"/>
      <c r="AA37" s="143"/>
      <c r="AF37" s="143"/>
      <c r="AK37" s="143"/>
      <c r="AP37" s="143"/>
    </row>
    <row r="38" spans="1:42" x14ac:dyDescent="0.3">
      <c r="B38" s="74"/>
      <c r="G38" s="74"/>
      <c r="L38" s="74"/>
      <c r="Q38" s="143"/>
      <c r="V38" s="143"/>
      <c r="AA38" s="143"/>
      <c r="AF38" s="143"/>
      <c r="AK38" s="143"/>
      <c r="AP38" s="143"/>
    </row>
    <row r="39" spans="1:42" x14ac:dyDescent="0.3">
      <c r="B39" s="74"/>
      <c r="G39" s="74"/>
      <c r="L39" s="74"/>
      <c r="Q39" s="143"/>
      <c r="V39" s="143"/>
      <c r="AA39" s="143"/>
      <c r="AF39" s="143"/>
      <c r="AK39" s="143"/>
      <c r="AP39" s="143"/>
    </row>
    <row r="40" spans="1:42" x14ac:dyDescent="0.3">
      <c r="B40" s="74"/>
      <c r="G40" s="74"/>
      <c r="L40" s="74"/>
      <c r="Q40" s="143"/>
      <c r="V40" s="143"/>
      <c r="AA40" s="143"/>
      <c r="AF40" s="143"/>
      <c r="AK40" s="143"/>
      <c r="AP40" s="143"/>
    </row>
    <row r="41" spans="1:42" x14ac:dyDescent="0.3">
      <c r="B41" s="74"/>
      <c r="G41" s="74"/>
      <c r="L41" s="74"/>
      <c r="Q41" s="143"/>
      <c r="V41" s="143"/>
      <c r="AA41" s="143"/>
      <c r="AF41" s="143"/>
      <c r="AK41" s="143"/>
      <c r="AP41" s="143"/>
    </row>
    <row r="42" spans="1:42" x14ac:dyDescent="0.3">
      <c r="B42" s="74"/>
      <c r="G42" s="74"/>
      <c r="L42" s="74"/>
      <c r="Q42" s="143"/>
      <c r="V42" s="143"/>
      <c r="AA42" s="143"/>
      <c r="AF42" s="143"/>
      <c r="AK42" s="143"/>
      <c r="AP42" s="143"/>
    </row>
    <row r="43" spans="1:42" x14ac:dyDescent="0.3">
      <c r="B43" s="74"/>
      <c r="G43" s="74"/>
      <c r="L43" s="74"/>
      <c r="Q43" s="143"/>
      <c r="V43" s="143"/>
      <c r="AA43" s="143"/>
      <c r="AF43" s="143"/>
      <c r="AK43" s="143"/>
      <c r="AP43" s="143"/>
    </row>
    <row r="44" spans="1:42" x14ac:dyDescent="0.3">
      <c r="B44" s="74"/>
      <c r="G44" s="74"/>
      <c r="L44" s="74"/>
      <c r="Q44" s="143"/>
      <c r="V44" s="143"/>
      <c r="AA44" s="143"/>
      <c r="AF44" s="143"/>
      <c r="AK44" s="143"/>
      <c r="AP44" s="143"/>
    </row>
    <row r="45" spans="1:42" x14ac:dyDescent="0.3">
      <c r="B45" s="74"/>
      <c r="G45" s="74"/>
      <c r="L45" s="74"/>
      <c r="Q45" s="143"/>
      <c r="V45" s="143"/>
      <c r="AA45" s="143"/>
      <c r="AF45" s="143"/>
      <c r="AK45" s="143"/>
      <c r="AP45" s="143"/>
    </row>
    <row r="46" spans="1:42" x14ac:dyDescent="0.3">
      <c r="B46" s="74"/>
      <c r="G46" s="74"/>
      <c r="L46" s="74"/>
      <c r="Q46" s="143"/>
      <c r="V46" s="143"/>
      <c r="AA46" s="143"/>
      <c r="AF46" s="143"/>
      <c r="AK46" s="143"/>
      <c r="AP46" s="143"/>
    </row>
    <row r="47" spans="1:42" x14ac:dyDescent="0.3">
      <c r="A47" s="79"/>
      <c r="B47" s="74"/>
      <c r="F47" s="79"/>
      <c r="G47" s="74"/>
      <c r="K47" s="79"/>
      <c r="L47" s="74"/>
      <c r="P47" s="79"/>
      <c r="Q47" s="143"/>
      <c r="U47" s="79"/>
      <c r="V47" s="143"/>
      <c r="Z47" s="79"/>
      <c r="AA47" s="143"/>
      <c r="AE47" s="79"/>
      <c r="AF47" s="143"/>
      <c r="AJ47" s="79"/>
      <c r="AK47" s="143"/>
      <c r="AO47" s="79"/>
      <c r="AP47" s="143"/>
    </row>
    <row r="48" spans="1:42" x14ac:dyDescent="0.3">
      <c r="B48" s="74"/>
      <c r="G48" s="74"/>
      <c r="L48" s="74"/>
      <c r="Q48" s="143"/>
      <c r="V48" s="143"/>
      <c r="AA48" s="143"/>
      <c r="AF48" s="143"/>
      <c r="AK48" s="143"/>
      <c r="AP48" s="143"/>
    </row>
    <row r="49" spans="1:42" x14ac:dyDescent="0.3">
      <c r="B49" s="74"/>
      <c r="G49" s="74"/>
      <c r="L49" s="74"/>
      <c r="Q49" s="143"/>
      <c r="V49" s="143"/>
      <c r="AA49" s="143"/>
      <c r="AF49" s="143"/>
      <c r="AK49" s="143"/>
      <c r="AP49" s="143"/>
    </row>
    <row r="50" spans="1:42" x14ac:dyDescent="0.3">
      <c r="B50" s="74"/>
      <c r="G50" s="74"/>
      <c r="L50" s="74"/>
      <c r="Q50" s="143"/>
      <c r="V50" s="143"/>
      <c r="AA50" s="143"/>
      <c r="AF50" s="143"/>
      <c r="AK50" s="143"/>
      <c r="AP50" s="143"/>
    </row>
    <row r="51" spans="1:42" x14ac:dyDescent="0.3">
      <c r="B51" s="74"/>
      <c r="G51" s="74"/>
      <c r="L51" s="74"/>
      <c r="Q51" s="143"/>
      <c r="V51" s="143"/>
      <c r="AA51" s="143"/>
      <c r="AF51" s="143"/>
      <c r="AK51" s="143"/>
      <c r="AP51" s="143"/>
    </row>
    <row r="52" spans="1:42" x14ac:dyDescent="0.3">
      <c r="B52" s="74"/>
      <c r="G52" s="74"/>
      <c r="L52" s="74"/>
      <c r="Q52" s="143"/>
      <c r="V52" s="143"/>
      <c r="AA52" s="143"/>
      <c r="AF52" s="143"/>
      <c r="AK52" s="143"/>
      <c r="AP52" s="143"/>
    </row>
    <row r="53" spans="1:42" x14ac:dyDescent="0.3">
      <c r="B53" s="74"/>
      <c r="G53" s="74"/>
      <c r="L53" s="74"/>
      <c r="Q53" s="143"/>
      <c r="V53" s="143"/>
      <c r="AA53" s="143"/>
      <c r="AF53" s="143"/>
      <c r="AK53" s="143"/>
      <c r="AP53" s="143"/>
    </row>
    <row r="54" spans="1:42" x14ac:dyDescent="0.3">
      <c r="B54" s="74"/>
      <c r="G54" s="74"/>
      <c r="L54" s="74"/>
      <c r="Q54" s="143"/>
      <c r="V54" s="143"/>
      <c r="AA54" s="143"/>
      <c r="AF54" s="143"/>
      <c r="AK54" s="143"/>
      <c r="AP54" s="143"/>
    </row>
    <row r="55" spans="1:42" x14ac:dyDescent="0.3">
      <c r="B55" s="74"/>
      <c r="G55" s="74"/>
      <c r="L55" s="74"/>
      <c r="Q55" s="143"/>
      <c r="V55" s="143"/>
      <c r="AA55" s="143"/>
      <c r="AF55" s="143"/>
      <c r="AK55" s="143"/>
      <c r="AP55" s="143"/>
    </row>
    <row r="56" spans="1:42" x14ac:dyDescent="0.3">
      <c r="B56" s="74"/>
      <c r="G56" s="74"/>
      <c r="L56" s="74"/>
      <c r="Q56" s="143"/>
      <c r="V56" s="143"/>
      <c r="AA56" s="143"/>
      <c r="AF56" s="143"/>
      <c r="AK56" s="143"/>
      <c r="AP56" s="143"/>
    </row>
    <row r="57" spans="1:42" x14ac:dyDescent="0.3">
      <c r="B57" s="74"/>
      <c r="G57" s="74"/>
      <c r="L57" s="74"/>
      <c r="Q57" s="143"/>
      <c r="V57" s="143"/>
      <c r="AA57" s="143"/>
      <c r="AF57" s="143"/>
      <c r="AK57" s="143"/>
      <c r="AP57" s="143"/>
    </row>
    <row r="58" spans="1:42" x14ac:dyDescent="0.3">
      <c r="B58" s="74"/>
      <c r="G58" s="74"/>
      <c r="L58" s="74"/>
      <c r="Q58" s="143"/>
      <c r="V58" s="143"/>
      <c r="AA58" s="143"/>
      <c r="AF58" s="143"/>
      <c r="AK58" s="143"/>
      <c r="AP58" s="143"/>
    </row>
    <row r="59" spans="1:42" x14ac:dyDescent="0.3">
      <c r="B59" s="74"/>
      <c r="G59" s="74"/>
      <c r="L59" s="74"/>
      <c r="Q59" s="143"/>
      <c r="V59" s="143"/>
      <c r="AA59" s="143"/>
      <c r="AF59" s="143"/>
      <c r="AK59" s="143"/>
      <c r="AP59" s="143"/>
    </row>
    <row r="60" spans="1:42" x14ac:dyDescent="0.3">
      <c r="B60" s="74"/>
      <c r="G60" s="74"/>
      <c r="L60" s="74"/>
      <c r="Q60" s="143"/>
      <c r="V60" s="143"/>
      <c r="AA60" s="143"/>
      <c r="AF60" s="143"/>
      <c r="AK60" s="143"/>
      <c r="AP60" s="143"/>
    </row>
    <row r="61" spans="1:42" x14ac:dyDescent="0.3">
      <c r="B61" s="74"/>
      <c r="G61" s="74"/>
      <c r="L61" s="74"/>
      <c r="Q61" s="143"/>
      <c r="V61" s="143"/>
      <c r="AA61" s="143"/>
      <c r="AF61" s="143"/>
      <c r="AK61" s="143"/>
      <c r="AP61" s="143"/>
    </row>
    <row r="62" spans="1:42" x14ac:dyDescent="0.3">
      <c r="A62" s="79"/>
      <c r="B62" s="74"/>
      <c r="F62" s="79"/>
      <c r="G62" s="74"/>
      <c r="K62" s="79"/>
      <c r="L62" s="74"/>
      <c r="P62" s="79"/>
      <c r="Q62" s="143"/>
      <c r="U62" s="79"/>
      <c r="V62" s="143"/>
      <c r="Z62" s="79"/>
      <c r="AA62" s="143"/>
      <c r="AE62" s="79"/>
      <c r="AF62" s="143"/>
      <c r="AJ62" s="79"/>
      <c r="AK62" s="143"/>
      <c r="AO62" s="79"/>
      <c r="AP62" s="143"/>
    </row>
    <row r="63" spans="1:42" x14ac:dyDescent="0.3">
      <c r="B63" s="74"/>
      <c r="G63" s="74"/>
      <c r="L63" s="74"/>
      <c r="Q63" s="143"/>
      <c r="V63" s="143"/>
      <c r="AA63" s="143"/>
      <c r="AF63" s="143"/>
      <c r="AK63" s="143"/>
      <c r="AP63" s="143"/>
    </row>
    <row r="64" spans="1:42" x14ac:dyDescent="0.3">
      <c r="B64" s="74"/>
      <c r="G64" s="74"/>
      <c r="L64" s="74"/>
      <c r="Q64" s="143"/>
      <c r="V64" s="143"/>
      <c r="AA64" s="143"/>
      <c r="AF64" s="143"/>
      <c r="AK64" s="143"/>
      <c r="AP64" s="143"/>
    </row>
    <row r="65" spans="1:42" x14ac:dyDescent="0.3">
      <c r="B65" s="74"/>
      <c r="G65" s="74"/>
      <c r="L65" s="74"/>
      <c r="Q65" s="143"/>
      <c r="V65" s="143"/>
      <c r="AA65" s="143"/>
      <c r="AF65" s="143"/>
      <c r="AK65" s="143"/>
      <c r="AP65" s="143"/>
    </row>
    <row r="66" spans="1:42" x14ac:dyDescent="0.3">
      <c r="B66" s="74"/>
      <c r="G66" s="74"/>
      <c r="L66" s="74"/>
      <c r="Q66" s="143"/>
      <c r="V66" s="143"/>
      <c r="AA66" s="143"/>
      <c r="AF66" s="143"/>
      <c r="AK66" s="143"/>
      <c r="AP66" s="143"/>
    </row>
    <row r="67" spans="1:42" x14ac:dyDescent="0.3">
      <c r="B67" s="74"/>
      <c r="G67" s="74"/>
      <c r="L67" s="74"/>
      <c r="Q67" s="143"/>
      <c r="V67" s="143"/>
      <c r="AA67" s="143"/>
      <c r="AF67" s="143"/>
      <c r="AK67" s="143"/>
      <c r="AP67" s="143"/>
    </row>
    <row r="68" spans="1:42" x14ac:dyDescent="0.3">
      <c r="B68" s="74"/>
      <c r="G68" s="74"/>
      <c r="L68" s="74"/>
      <c r="Q68" s="143"/>
      <c r="V68" s="143"/>
      <c r="AA68" s="143"/>
      <c r="AF68" s="143"/>
      <c r="AK68" s="143"/>
      <c r="AP68" s="143"/>
    </row>
    <row r="69" spans="1:42" x14ac:dyDescent="0.3">
      <c r="B69" s="74"/>
      <c r="G69" s="74"/>
      <c r="L69" s="74"/>
      <c r="Q69" s="143"/>
      <c r="V69" s="143"/>
      <c r="AA69" s="143"/>
      <c r="AF69" s="143"/>
      <c r="AK69" s="143"/>
      <c r="AP69" s="143"/>
    </row>
    <row r="70" spans="1:42" x14ac:dyDescent="0.3">
      <c r="B70" s="74"/>
      <c r="G70" s="74"/>
      <c r="L70" s="74"/>
      <c r="Q70" s="143"/>
      <c r="V70" s="143"/>
      <c r="AA70" s="143"/>
      <c r="AF70" s="143"/>
      <c r="AK70" s="143"/>
      <c r="AP70" s="143"/>
    </row>
    <row r="71" spans="1:42" x14ac:dyDescent="0.3">
      <c r="B71" s="74"/>
      <c r="G71" s="74"/>
      <c r="L71" s="74"/>
      <c r="Q71" s="143"/>
      <c r="V71" s="143"/>
      <c r="AA71" s="143"/>
      <c r="AF71" s="143"/>
      <c r="AK71" s="143"/>
      <c r="AP71" s="143"/>
    </row>
    <row r="72" spans="1:42" x14ac:dyDescent="0.3">
      <c r="B72" s="74"/>
      <c r="G72" s="74"/>
      <c r="L72" s="74"/>
      <c r="Q72" s="143"/>
      <c r="V72" s="143"/>
      <c r="AA72" s="143"/>
      <c r="AF72" s="143"/>
      <c r="AK72" s="143"/>
      <c r="AP72" s="143"/>
    </row>
    <row r="73" spans="1:42" x14ac:dyDescent="0.3">
      <c r="B73" s="74"/>
      <c r="G73" s="74"/>
      <c r="L73" s="74"/>
      <c r="Q73" s="143"/>
      <c r="V73" s="143"/>
      <c r="AA73" s="143"/>
      <c r="AF73" s="143"/>
      <c r="AK73" s="143"/>
      <c r="AP73" s="143"/>
    </row>
    <row r="74" spans="1:42" x14ac:dyDescent="0.3">
      <c r="B74" s="74"/>
      <c r="G74" s="74"/>
      <c r="L74" s="74"/>
      <c r="Q74" s="143"/>
      <c r="V74" s="143"/>
      <c r="AA74" s="143"/>
      <c r="AF74" s="143"/>
      <c r="AK74" s="143"/>
      <c r="AP74" s="143"/>
    </row>
    <row r="75" spans="1:42" x14ac:dyDescent="0.3">
      <c r="B75" s="74"/>
      <c r="G75" s="74"/>
      <c r="L75" s="74"/>
      <c r="Q75" s="143"/>
      <c r="V75" s="143"/>
      <c r="AA75" s="143"/>
      <c r="AF75" s="143"/>
      <c r="AK75" s="143"/>
      <c r="AP75" s="143"/>
    </row>
    <row r="76" spans="1:42" x14ac:dyDescent="0.3">
      <c r="B76" s="74"/>
      <c r="G76" s="74"/>
      <c r="L76" s="74"/>
      <c r="Q76" s="143"/>
      <c r="V76" s="143"/>
      <c r="AA76" s="143"/>
      <c r="AF76" s="143"/>
      <c r="AK76" s="143"/>
      <c r="AP76" s="143"/>
    </row>
    <row r="77" spans="1:42" x14ac:dyDescent="0.3">
      <c r="A77" s="79"/>
      <c r="B77" s="74"/>
      <c r="F77" s="79"/>
      <c r="G77" s="74"/>
      <c r="K77" s="79"/>
      <c r="L77" s="74"/>
      <c r="P77" s="79"/>
      <c r="Q77" s="143"/>
      <c r="U77" s="79"/>
      <c r="V77" s="143"/>
      <c r="Z77" s="79"/>
      <c r="AA77" s="143"/>
      <c r="AE77" s="79"/>
      <c r="AF77" s="143"/>
      <c r="AJ77" s="79"/>
      <c r="AK77" s="143"/>
      <c r="AO77" s="79"/>
      <c r="AP77" s="143"/>
    </row>
    <row r="78" spans="1:42" x14ac:dyDescent="0.3">
      <c r="B78" s="74"/>
      <c r="G78" s="74"/>
      <c r="L78" s="74"/>
      <c r="Q78" s="143"/>
      <c r="V78" s="143"/>
      <c r="AA78" s="143"/>
      <c r="AF78" s="143"/>
      <c r="AK78" s="143"/>
      <c r="AP78" s="143"/>
    </row>
    <row r="79" spans="1:42" x14ac:dyDescent="0.3">
      <c r="B79" s="74"/>
      <c r="G79" s="74"/>
      <c r="L79" s="74"/>
      <c r="Q79" s="143"/>
      <c r="V79" s="143"/>
      <c r="AA79" s="143"/>
      <c r="AF79" s="143"/>
      <c r="AK79" s="143"/>
      <c r="AP79" s="143"/>
    </row>
    <row r="80" spans="1:42" x14ac:dyDescent="0.3">
      <c r="B80" s="74"/>
      <c r="G80" s="74"/>
      <c r="L80" s="74"/>
      <c r="Q80" s="143"/>
      <c r="V80" s="143"/>
      <c r="AA80" s="143"/>
      <c r="AF80" s="143"/>
      <c r="AK80" s="143"/>
      <c r="AP80" s="143"/>
    </row>
    <row r="81" spans="2:42" x14ac:dyDescent="0.3">
      <c r="B81" s="74"/>
      <c r="G81" s="74"/>
      <c r="L81" s="74"/>
      <c r="Q81" s="143"/>
      <c r="V81" s="143"/>
      <c r="AA81" s="143"/>
      <c r="AF81" s="143"/>
      <c r="AK81" s="143"/>
      <c r="AP81" s="143"/>
    </row>
    <row r="82" spans="2:42" x14ac:dyDescent="0.3">
      <c r="B82" s="74"/>
      <c r="G82" s="74"/>
      <c r="L82" s="74"/>
      <c r="Q82" s="143"/>
      <c r="V82" s="143"/>
      <c r="AA82" s="143"/>
      <c r="AF82" s="143"/>
      <c r="AK82" s="143"/>
      <c r="AP82" s="143"/>
    </row>
    <row r="83" spans="2:42" x14ac:dyDescent="0.3">
      <c r="B83" s="74"/>
      <c r="G83" s="74"/>
      <c r="L83" s="74"/>
      <c r="Q83" s="143"/>
      <c r="V83" s="143"/>
      <c r="AA83" s="143"/>
      <c r="AF83" s="143"/>
      <c r="AK83" s="143"/>
      <c r="AP83" s="143"/>
    </row>
    <row r="84" spans="2:42" x14ac:dyDescent="0.3">
      <c r="B84" s="74"/>
      <c r="G84" s="74"/>
      <c r="L84" s="74"/>
      <c r="Q84" s="143"/>
      <c r="V84" s="143"/>
      <c r="AA84" s="143"/>
      <c r="AF84" s="143"/>
      <c r="AK84" s="143"/>
      <c r="AP84" s="143"/>
    </row>
    <row r="85" spans="2:42" x14ac:dyDescent="0.3">
      <c r="B85" s="74"/>
      <c r="G85" s="74"/>
      <c r="L85" s="74"/>
      <c r="Q85" s="143"/>
      <c r="V85" s="143"/>
      <c r="AA85" s="143"/>
      <c r="AF85" s="143"/>
      <c r="AK85" s="143"/>
      <c r="AP85" s="143"/>
    </row>
    <row r="86" spans="2:42" x14ac:dyDescent="0.3">
      <c r="B86" s="74"/>
      <c r="G86" s="74"/>
      <c r="L86" s="74"/>
      <c r="Q86" s="143"/>
      <c r="V86" s="143"/>
      <c r="AA86" s="143"/>
      <c r="AF86" s="143"/>
      <c r="AK86" s="143"/>
      <c r="AP86" s="143"/>
    </row>
    <row r="87" spans="2:42" x14ac:dyDescent="0.3">
      <c r="B87" s="74"/>
      <c r="G87" s="74"/>
      <c r="L87" s="74"/>
      <c r="Q87" s="143"/>
      <c r="V87" s="143"/>
      <c r="AA87" s="143"/>
      <c r="AF87" s="143"/>
      <c r="AK87" s="143"/>
      <c r="AP87" s="143"/>
    </row>
    <row r="88" spans="2:42" x14ac:dyDescent="0.3">
      <c r="B88" s="74"/>
      <c r="G88" s="74"/>
      <c r="L88" s="74"/>
      <c r="Q88" s="143"/>
      <c r="V88" s="143"/>
      <c r="AA88" s="143"/>
      <c r="AF88" s="143"/>
      <c r="AK88" s="143"/>
      <c r="AP88" s="143"/>
    </row>
    <row r="89" spans="2:42" x14ac:dyDescent="0.3">
      <c r="B89" s="74"/>
      <c r="G89" s="74"/>
      <c r="L89" s="74"/>
      <c r="Q89" s="143"/>
      <c r="V89" s="143"/>
      <c r="AA89" s="143"/>
      <c r="AF89" s="143"/>
      <c r="AK89" s="143"/>
      <c r="AP89" s="143"/>
    </row>
    <row r="90" spans="2:42" x14ac:dyDescent="0.3">
      <c r="B90" s="74"/>
      <c r="G90" s="74"/>
      <c r="L90" s="74"/>
      <c r="Q90" s="143"/>
      <c r="V90" s="143"/>
      <c r="AA90" s="143"/>
      <c r="AF90" s="143"/>
      <c r="AK90" s="143"/>
      <c r="AP90" s="143"/>
    </row>
    <row r="91" spans="2:42" x14ac:dyDescent="0.3">
      <c r="B91" s="74"/>
      <c r="G91" s="74"/>
      <c r="L91" s="74"/>
      <c r="Q91" s="143"/>
      <c r="V91" s="143"/>
      <c r="AA91" s="143"/>
      <c r="AF91" s="143"/>
      <c r="AK91" s="143"/>
      <c r="AP91" s="143"/>
    </row>
  </sheetData>
  <phoneticPr fontId="1" type="noConversion"/>
  <conditionalFormatting sqref="AS1:AS1048576 E1:E1048576 J1:J1048576 O1:O1048576 T1:T1048576 Y1:Y1048576 AD1:AD1048576 AI1:AI1048576 AN1:AN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55584-4689-4553-8F51-5547FEE6CE13}">
  <sheetPr codeName="Sheet2">
    <tabColor theme="0"/>
  </sheetPr>
  <dimension ref="A1:AS41"/>
  <sheetViews>
    <sheetView topLeftCell="B1" workbookViewId="0">
      <pane ySplit="1" topLeftCell="A2" activePane="bottomLeft" state="frozen"/>
      <selection pane="bottomLeft" activeCell="AQ2" sqref="AQ2"/>
    </sheetView>
  </sheetViews>
  <sheetFormatPr defaultColWidth="9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4.84375" style="119" bestFit="1" customWidth="1"/>
    <col min="6" max="6" width="3.07421875" style="12" bestFit="1" customWidth="1"/>
    <col min="7" max="8" width="4.765625" style="2" bestFit="1" customWidth="1"/>
    <col min="9" max="9" width="2.921875" style="2" bestFit="1" customWidth="1"/>
    <col min="10" max="10" width="4.84375" style="119" bestFit="1" customWidth="1"/>
    <col min="11" max="11" width="3.07421875" style="2" bestFit="1" customWidth="1"/>
    <col min="12" max="13" width="4.765625" style="2" bestFit="1" customWidth="1"/>
    <col min="14" max="14" width="2.921875" style="2" bestFit="1" customWidth="1"/>
    <col min="15" max="15" width="4.84375" style="119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4.84375" style="119" bestFit="1" customWidth="1"/>
    <col min="21" max="21" width="3.84375" style="12" bestFit="1" customWidth="1"/>
    <col min="22" max="22" width="5.69140625" style="2" bestFit="1" customWidth="1"/>
    <col min="23" max="23" width="4.765625" style="2" bestFit="1" customWidth="1"/>
    <col min="24" max="24" width="2.921875" style="2" bestFit="1" customWidth="1"/>
    <col min="25" max="25" width="4.84375" style="119" bestFit="1" customWidth="1"/>
    <col min="26" max="26" width="3.07421875" style="2" bestFit="1" customWidth="1"/>
    <col min="27" max="27" width="5.69140625" style="2" bestFit="1" customWidth="1"/>
    <col min="28" max="28" width="4.765625" style="2" bestFit="1" customWidth="1"/>
    <col min="29" max="29" width="2.921875" style="2" bestFit="1" customWidth="1"/>
    <col min="30" max="30" width="4.84375" style="119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4.84375" style="119" bestFit="1" customWidth="1"/>
    <col min="36" max="36" width="3.84375" style="12" bestFit="1" customWidth="1"/>
    <col min="37" max="37" width="5.69140625" style="2" bestFit="1" customWidth="1"/>
    <col min="38" max="38" width="4.765625" style="2" bestFit="1" customWidth="1"/>
    <col min="39" max="39" width="2.921875" style="2" bestFit="1" customWidth="1"/>
    <col min="40" max="40" width="4.84375" style="119" bestFit="1" customWidth="1"/>
    <col min="41" max="41" width="3.84375" style="2" bestFit="1" customWidth="1"/>
    <col min="42" max="42" width="5.69140625" style="2" bestFit="1" customWidth="1"/>
    <col min="43" max="43" width="4.765625" style="2" bestFit="1" customWidth="1"/>
    <col min="44" max="44" width="2.921875" style="2" bestFit="1" customWidth="1"/>
    <col min="45" max="45" width="4.84375" style="119" bestFit="1" customWidth="1"/>
    <col min="46" max="16384" width="9" style="6"/>
  </cols>
  <sheetData>
    <row r="1" spans="1:45" x14ac:dyDescent="0.3">
      <c r="A1" s="35" t="s">
        <v>331</v>
      </c>
      <c r="B1" s="35" t="s">
        <v>332</v>
      </c>
      <c r="C1" s="35" t="s">
        <v>333</v>
      </c>
      <c r="D1" s="35" t="s">
        <v>334</v>
      </c>
      <c r="E1" s="115" t="s">
        <v>87</v>
      </c>
      <c r="F1" s="35" t="s">
        <v>331</v>
      </c>
      <c r="G1" s="35" t="s">
        <v>332</v>
      </c>
      <c r="H1" s="35" t="s">
        <v>333</v>
      </c>
      <c r="I1" s="35" t="s">
        <v>334</v>
      </c>
      <c r="J1" s="115" t="s">
        <v>87</v>
      </c>
      <c r="K1" s="35" t="s">
        <v>331</v>
      </c>
      <c r="L1" s="35" t="s">
        <v>332</v>
      </c>
      <c r="M1" s="35" t="s">
        <v>333</v>
      </c>
      <c r="N1" s="35" t="s">
        <v>334</v>
      </c>
      <c r="O1" s="115" t="s">
        <v>87</v>
      </c>
      <c r="P1" s="105" t="s">
        <v>331</v>
      </c>
      <c r="Q1" s="105" t="s">
        <v>332</v>
      </c>
      <c r="R1" s="105" t="s">
        <v>333</v>
      </c>
      <c r="S1" s="105" t="s">
        <v>334</v>
      </c>
      <c r="T1" s="115" t="s">
        <v>87</v>
      </c>
      <c r="U1" s="105" t="s">
        <v>331</v>
      </c>
      <c r="V1" s="105" t="s">
        <v>332</v>
      </c>
      <c r="W1" s="105" t="s">
        <v>333</v>
      </c>
      <c r="X1" s="105" t="s">
        <v>334</v>
      </c>
      <c r="Y1" s="115" t="s">
        <v>87</v>
      </c>
      <c r="Z1" s="105" t="s">
        <v>331</v>
      </c>
      <c r="AA1" s="105" t="s">
        <v>332</v>
      </c>
      <c r="AB1" s="105" t="s">
        <v>333</v>
      </c>
      <c r="AC1" s="105" t="s">
        <v>334</v>
      </c>
      <c r="AD1" s="115" t="s">
        <v>87</v>
      </c>
      <c r="AE1" s="35" t="s">
        <v>331</v>
      </c>
      <c r="AF1" s="35" t="s">
        <v>332</v>
      </c>
      <c r="AG1" s="35" t="s">
        <v>333</v>
      </c>
      <c r="AH1" s="35" t="s">
        <v>334</v>
      </c>
      <c r="AI1" s="115" t="s">
        <v>87</v>
      </c>
      <c r="AJ1" s="35" t="s">
        <v>331</v>
      </c>
      <c r="AK1" s="35" t="s">
        <v>332</v>
      </c>
      <c r="AL1" s="35" t="s">
        <v>333</v>
      </c>
      <c r="AM1" s="35" t="s">
        <v>334</v>
      </c>
      <c r="AN1" s="115" t="s">
        <v>87</v>
      </c>
      <c r="AO1" s="35" t="s">
        <v>331</v>
      </c>
      <c r="AP1" s="35" t="s">
        <v>332</v>
      </c>
      <c r="AQ1" s="35" t="s">
        <v>333</v>
      </c>
      <c r="AR1" s="35" t="s">
        <v>334</v>
      </c>
      <c r="AS1" s="115" t="s">
        <v>87</v>
      </c>
    </row>
    <row r="2" spans="1:45" x14ac:dyDescent="0.3">
      <c r="A2" s="79">
        <v>10</v>
      </c>
      <c r="B2" s="79">
        <v>3.42</v>
      </c>
      <c r="C2" s="82">
        <v>2.92</v>
      </c>
      <c r="D2" s="86">
        <v>45</v>
      </c>
      <c r="E2" s="119">
        <v>45704</v>
      </c>
      <c r="F2" s="79">
        <v>20</v>
      </c>
      <c r="G2" s="81">
        <v>5.09</v>
      </c>
      <c r="H2" s="80">
        <v>3.93</v>
      </c>
      <c r="I2" s="86">
        <v>45</v>
      </c>
      <c r="J2" s="119">
        <v>45706</v>
      </c>
      <c r="K2" s="79">
        <v>15</v>
      </c>
      <c r="L2" s="80">
        <v>4.07</v>
      </c>
      <c r="M2" s="15">
        <v>3.69</v>
      </c>
      <c r="N2" s="85">
        <v>50</v>
      </c>
      <c r="O2" s="119">
        <v>45706</v>
      </c>
      <c r="P2" s="79">
        <v>35</v>
      </c>
      <c r="Q2" s="81">
        <v>16.43</v>
      </c>
      <c r="R2" s="85">
        <v>2.13</v>
      </c>
      <c r="S2" s="86">
        <v>49</v>
      </c>
      <c r="T2" s="119">
        <v>45712</v>
      </c>
      <c r="U2" s="79">
        <v>72</v>
      </c>
      <c r="V2" s="85">
        <v>21.66</v>
      </c>
      <c r="W2" s="81">
        <v>3.32</v>
      </c>
      <c r="X2" s="171">
        <v>63</v>
      </c>
      <c r="Y2" s="119">
        <v>45716</v>
      </c>
      <c r="Z2" s="79">
        <v>72</v>
      </c>
      <c r="AA2" s="85">
        <v>21.66</v>
      </c>
      <c r="AB2" s="81">
        <v>3.32</v>
      </c>
      <c r="AC2" s="171">
        <v>63</v>
      </c>
      <c r="AD2" s="119">
        <v>45716</v>
      </c>
      <c r="AE2" s="79">
        <v>170</v>
      </c>
      <c r="AF2" s="171">
        <v>63.69</v>
      </c>
      <c r="AG2" s="171">
        <v>2.67</v>
      </c>
      <c r="AH2" s="171">
        <v>63</v>
      </c>
      <c r="AI2" s="119">
        <v>45705</v>
      </c>
      <c r="AJ2" s="79">
        <v>210</v>
      </c>
      <c r="AK2" s="87">
        <v>78.44</v>
      </c>
      <c r="AL2" s="171">
        <v>2.68</v>
      </c>
      <c r="AM2" s="85">
        <v>55</v>
      </c>
      <c r="AN2" s="119">
        <v>45707</v>
      </c>
      <c r="AO2" s="79">
        <v>170</v>
      </c>
      <c r="AP2" s="171">
        <v>63.69</v>
      </c>
      <c r="AQ2" s="171">
        <v>2.67</v>
      </c>
      <c r="AR2" s="171">
        <v>63</v>
      </c>
      <c r="AS2" s="119">
        <v>45705</v>
      </c>
    </row>
    <row r="3" spans="1:45" x14ac:dyDescent="0.3">
      <c r="A3" s="12">
        <v>10</v>
      </c>
      <c r="B3" s="14">
        <v>3.58</v>
      </c>
      <c r="C3" s="82">
        <v>2.79</v>
      </c>
      <c r="D3" s="86">
        <v>41</v>
      </c>
      <c r="E3" s="119">
        <v>45716</v>
      </c>
      <c r="F3" s="12">
        <v>25</v>
      </c>
      <c r="G3" s="82">
        <v>6.41</v>
      </c>
      <c r="H3" s="80">
        <v>3.9</v>
      </c>
      <c r="I3" s="86">
        <v>38</v>
      </c>
      <c r="J3" s="119">
        <v>45712</v>
      </c>
      <c r="K3" s="2">
        <v>15</v>
      </c>
      <c r="L3" s="80">
        <v>4.28</v>
      </c>
      <c r="M3" s="15">
        <v>3.5</v>
      </c>
      <c r="N3" s="86">
        <v>46</v>
      </c>
      <c r="O3" s="119">
        <v>45704</v>
      </c>
      <c r="P3" s="12">
        <v>42</v>
      </c>
      <c r="Q3" s="81">
        <v>16.86</v>
      </c>
      <c r="R3" s="84">
        <v>2.4900000000000002</v>
      </c>
      <c r="S3" s="85">
        <v>56</v>
      </c>
      <c r="T3" s="119">
        <v>45716</v>
      </c>
      <c r="U3" s="12">
        <v>82</v>
      </c>
      <c r="V3" s="87">
        <v>25.92</v>
      </c>
      <c r="W3" s="16">
        <v>3.16</v>
      </c>
      <c r="X3" s="85">
        <v>52</v>
      </c>
      <c r="Y3" s="119">
        <v>45705</v>
      </c>
      <c r="Z3" s="2">
        <v>48</v>
      </c>
      <c r="AA3" s="16">
        <v>17.88</v>
      </c>
      <c r="AB3" s="171">
        <v>2.68</v>
      </c>
      <c r="AC3" s="84">
        <v>58</v>
      </c>
      <c r="AD3" s="119">
        <v>45711</v>
      </c>
      <c r="AE3" s="12">
        <v>148</v>
      </c>
      <c r="AF3" s="171">
        <v>64.05</v>
      </c>
      <c r="AG3" s="84">
        <v>2.31</v>
      </c>
      <c r="AH3" s="85">
        <v>55</v>
      </c>
      <c r="AI3" s="119">
        <v>45707</v>
      </c>
      <c r="AJ3" s="12">
        <v>170</v>
      </c>
      <c r="AK3" s="171">
        <v>63.69</v>
      </c>
      <c r="AL3" s="171">
        <v>2.67</v>
      </c>
      <c r="AM3" s="171">
        <v>63</v>
      </c>
      <c r="AN3" s="119">
        <v>45705</v>
      </c>
      <c r="AO3" s="2">
        <v>161</v>
      </c>
      <c r="AP3" s="171">
        <v>64.52</v>
      </c>
      <c r="AQ3" s="171">
        <v>2.5</v>
      </c>
      <c r="AR3" s="84">
        <v>59</v>
      </c>
      <c r="AS3" s="119">
        <v>45701</v>
      </c>
    </row>
    <row r="4" spans="1:45" x14ac:dyDescent="0.3">
      <c r="A4" s="12">
        <v>11</v>
      </c>
      <c r="B4" s="14">
        <v>3.74</v>
      </c>
      <c r="C4" s="82">
        <v>2.94</v>
      </c>
      <c r="D4" s="86">
        <v>42</v>
      </c>
      <c r="E4" s="119">
        <v>45706</v>
      </c>
      <c r="F4" s="12">
        <v>29</v>
      </c>
      <c r="G4" s="84">
        <v>7.47</v>
      </c>
      <c r="H4" s="80">
        <v>3.88</v>
      </c>
      <c r="I4" s="87">
        <v>34</v>
      </c>
      <c r="J4" s="119">
        <v>45706</v>
      </c>
      <c r="K4" s="2">
        <v>20</v>
      </c>
      <c r="L4" s="81">
        <v>5.09</v>
      </c>
      <c r="M4" s="80">
        <v>3.93</v>
      </c>
      <c r="N4" s="86">
        <v>45</v>
      </c>
      <c r="O4" s="119">
        <v>45706</v>
      </c>
      <c r="P4" s="12">
        <v>46</v>
      </c>
      <c r="Q4" s="16">
        <v>17.600000000000001</v>
      </c>
      <c r="R4" s="171">
        <v>2.61</v>
      </c>
      <c r="S4" s="84">
        <v>57</v>
      </c>
      <c r="T4" s="119">
        <v>45711</v>
      </c>
      <c r="U4" s="12">
        <v>82</v>
      </c>
      <c r="V4" s="88">
        <v>26.68</v>
      </c>
      <c r="W4" s="16">
        <v>3.07</v>
      </c>
      <c r="X4" s="85">
        <v>50</v>
      </c>
      <c r="Y4" s="119">
        <v>45716</v>
      </c>
      <c r="Z4" s="2">
        <v>46</v>
      </c>
      <c r="AA4" s="16">
        <v>17.600000000000001</v>
      </c>
      <c r="AB4" s="171">
        <v>2.61</v>
      </c>
      <c r="AC4" s="84">
        <v>57</v>
      </c>
      <c r="AD4" s="119">
        <v>45711</v>
      </c>
      <c r="AE4" s="12">
        <v>161</v>
      </c>
      <c r="AF4" s="171">
        <v>64.52</v>
      </c>
      <c r="AG4" s="171">
        <v>2.5</v>
      </c>
      <c r="AH4" s="84">
        <v>59</v>
      </c>
      <c r="AI4" s="119">
        <v>45701</v>
      </c>
      <c r="AJ4" s="12">
        <v>195</v>
      </c>
      <c r="AK4" s="86">
        <v>74.05</v>
      </c>
      <c r="AL4" s="171">
        <v>2.63</v>
      </c>
      <c r="AM4" s="85">
        <v>56</v>
      </c>
      <c r="AN4" s="119">
        <v>45705</v>
      </c>
      <c r="AO4" s="2">
        <v>183</v>
      </c>
      <c r="AP4" s="85">
        <v>69.73</v>
      </c>
      <c r="AQ4" s="171">
        <v>2.62</v>
      </c>
      <c r="AR4" s="84">
        <v>58</v>
      </c>
      <c r="AS4" s="119">
        <v>45700</v>
      </c>
    </row>
    <row r="5" spans="1:45" x14ac:dyDescent="0.3">
      <c r="A5" s="12">
        <v>10</v>
      </c>
      <c r="B5" s="14">
        <v>3.79</v>
      </c>
      <c r="C5" s="171">
        <v>2.64</v>
      </c>
      <c r="D5" s="87">
        <v>37</v>
      </c>
      <c r="E5" s="119">
        <v>45712</v>
      </c>
      <c r="F5" s="12">
        <v>28</v>
      </c>
      <c r="G5" s="84">
        <v>7.36</v>
      </c>
      <c r="H5" s="80">
        <v>3.8</v>
      </c>
      <c r="I5" s="87">
        <v>34</v>
      </c>
      <c r="J5" s="119">
        <v>45706</v>
      </c>
      <c r="K5" s="2">
        <v>10</v>
      </c>
      <c r="L5" s="79">
        <v>3.42</v>
      </c>
      <c r="M5" s="82">
        <v>2.92</v>
      </c>
      <c r="N5" s="86">
        <v>45</v>
      </c>
      <c r="O5" s="119">
        <v>45704</v>
      </c>
      <c r="P5" s="12">
        <v>48</v>
      </c>
      <c r="Q5" s="16">
        <v>17.88</v>
      </c>
      <c r="R5" s="171">
        <v>2.68</v>
      </c>
      <c r="S5" s="84">
        <v>58</v>
      </c>
      <c r="T5" s="119">
        <v>45711</v>
      </c>
      <c r="U5" s="12">
        <v>86</v>
      </c>
      <c r="V5" s="168">
        <v>28.86</v>
      </c>
      <c r="W5" s="82">
        <v>2.98</v>
      </c>
      <c r="X5" s="86">
        <v>46</v>
      </c>
      <c r="Y5" s="119">
        <v>45697</v>
      </c>
      <c r="Z5" s="2">
        <v>42</v>
      </c>
      <c r="AA5" s="81">
        <v>16.86</v>
      </c>
      <c r="AB5" s="84">
        <v>2.4900000000000002</v>
      </c>
      <c r="AC5" s="85">
        <v>56</v>
      </c>
      <c r="AD5" s="119">
        <v>45716</v>
      </c>
      <c r="AE5" s="12">
        <v>150</v>
      </c>
      <c r="AF5" s="84">
        <v>65.59</v>
      </c>
      <c r="AG5" s="84">
        <v>2.29</v>
      </c>
      <c r="AH5" s="85">
        <v>53</v>
      </c>
      <c r="AI5" s="119">
        <v>45704</v>
      </c>
      <c r="AJ5" s="12">
        <v>183</v>
      </c>
      <c r="AK5" s="85">
        <v>69.73</v>
      </c>
      <c r="AL5" s="171">
        <v>2.62</v>
      </c>
      <c r="AM5" s="84">
        <v>58</v>
      </c>
      <c r="AN5" s="119">
        <v>45700</v>
      </c>
      <c r="AO5" s="2">
        <v>176</v>
      </c>
      <c r="AP5" s="85">
        <v>69.38</v>
      </c>
      <c r="AQ5" s="171">
        <v>2.54</v>
      </c>
      <c r="AR5" s="84">
        <v>57</v>
      </c>
      <c r="AS5" s="119">
        <v>45696</v>
      </c>
    </row>
    <row r="6" spans="1:45" x14ac:dyDescent="0.3">
      <c r="A6" s="12">
        <v>11</v>
      </c>
      <c r="B6" s="14">
        <v>3.82</v>
      </c>
      <c r="C6" s="82">
        <v>2.88</v>
      </c>
      <c r="D6" s="86">
        <v>41</v>
      </c>
      <c r="E6" s="119">
        <v>45711</v>
      </c>
      <c r="F6" s="12">
        <v>22</v>
      </c>
      <c r="G6" s="16">
        <v>5.9</v>
      </c>
      <c r="H6" s="15">
        <v>3.73</v>
      </c>
      <c r="I6" s="86">
        <v>39</v>
      </c>
      <c r="J6" s="119">
        <v>45712</v>
      </c>
      <c r="K6" s="2">
        <v>14</v>
      </c>
      <c r="L6" s="80">
        <v>4.1900000000000004</v>
      </c>
      <c r="M6" s="81">
        <v>3.34</v>
      </c>
      <c r="N6" s="86">
        <v>44</v>
      </c>
      <c r="O6" s="119">
        <v>45712</v>
      </c>
      <c r="P6" s="12">
        <v>44</v>
      </c>
      <c r="Q6" s="82">
        <v>18.82</v>
      </c>
      <c r="R6" s="84">
        <v>2.34</v>
      </c>
      <c r="S6" s="86">
        <v>49</v>
      </c>
      <c r="T6" s="119">
        <v>45713</v>
      </c>
      <c r="U6" s="12">
        <v>81</v>
      </c>
      <c r="V6" s="88">
        <v>27.62</v>
      </c>
      <c r="W6" s="82">
        <v>2.93</v>
      </c>
      <c r="X6" s="86">
        <v>47</v>
      </c>
      <c r="Y6" s="119">
        <v>45711</v>
      </c>
      <c r="Z6" s="2">
        <v>65</v>
      </c>
      <c r="AA6" s="86">
        <v>22.21</v>
      </c>
      <c r="AB6" s="82">
        <v>2.93</v>
      </c>
      <c r="AC6" s="85">
        <v>54</v>
      </c>
      <c r="AD6" s="119">
        <v>45716</v>
      </c>
      <c r="AE6" s="12">
        <v>127</v>
      </c>
      <c r="AF6" s="84">
        <v>65.77</v>
      </c>
      <c r="AG6" s="86">
        <v>1.93</v>
      </c>
      <c r="AH6" s="86">
        <v>45</v>
      </c>
      <c r="AI6" s="119">
        <v>45704</v>
      </c>
      <c r="AJ6" s="12">
        <v>190</v>
      </c>
      <c r="AK6" s="86">
        <v>72.78</v>
      </c>
      <c r="AL6" s="171">
        <v>2.61</v>
      </c>
      <c r="AM6" s="85">
        <v>56</v>
      </c>
      <c r="AN6" s="119">
        <v>45699</v>
      </c>
      <c r="AO6" s="2">
        <v>190</v>
      </c>
      <c r="AP6" s="86">
        <v>72.78</v>
      </c>
      <c r="AQ6" s="171">
        <v>2.61</v>
      </c>
      <c r="AR6" s="85">
        <v>56</v>
      </c>
      <c r="AS6" s="119">
        <v>45699</v>
      </c>
    </row>
    <row r="7" spans="1:45" x14ac:dyDescent="0.3">
      <c r="A7" s="12">
        <v>10</v>
      </c>
      <c r="B7" s="14">
        <v>3.84</v>
      </c>
      <c r="C7" s="171">
        <v>2.6</v>
      </c>
      <c r="D7" s="87">
        <v>37</v>
      </c>
      <c r="E7" s="119">
        <v>45711</v>
      </c>
      <c r="F7" s="12">
        <v>26</v>
      </c>
      <c r="G7" s="84">
        <v>7.02</v>
      </c>
      <c r="H7" s="15">
        <v>3.7</v>
      </c>
      <c r="I7" s="87">
        <v>34</v>
      </c>
      <c r="J7" s="119">
        <v>45716</v>
      </c>
      <c r="K7" s="2">
        <v>12</v>
      </c>
      <c r="L7" s="14">
        <v>3.86</v>
      </c>
      <c r="M7" s="16">
        <v>3.11</v>
      </c>
      <c r="N7" s="86">
        <v>43</v>
      </c>
      <c r="O7" s="119">
        <v>45692</v>
      </c>
      <c r="P7" s="12">
        <v>46</v>
      </c>
      <c r="Q7" s="82">
        <v>18.829999999999998</v>
      </c>
      <c r="R7" s="84">
        <v>2.44</v>
      </c>
      <c r="S7" s="85">
        <v>51</v>
      </c>
      <c r="T7" s="119">
        <v>45716</v>
      </c>
      <c r="U7" s="12">
        <v>65</v>
      </c>
      <c r="V7" s="86">
        <v>22.21</v>
      </c>
      <c r="W7" s="82">
        <v>2.93</v>
      </c>
      <c r="X7" s="85">
        <v>54</v>
      </c>
      <c r="Y7" s="119">
        <v>45716</v>
      </c>
      <c r="Z7" s="2">
        <v>62</v>
      </c>
      <c r="AA7" s="85">
        <v>21.7</v>
      </c>
      <c r="AB7" s="82">
        <v>2.86</v>
      </c>
      <c r="AC7" s="85">
        <v>54</v>
      </c>
      <c r="AD7" s="119">
        <v>45704</v>
      </c>
      <c r="AE7" s="12">
        <v>140</v>
      </c>
      <c r="AF7" s="84">
        <v>66.09</v>
      </c>
      <c r="AG7" s="85">
        <v>2.12</v>
      </c>
      <c r="AH7" s="86">
        <v>49</v>
      </c>
      <c r="AI7" s="119">
        <v>45708</v>
      </c>
      <c r="AJ7" s="12">
        <v>230</v>
      </c>
      <c r="AK7" s="168">
        <v>88.29</v>
      </c>
      <c r="AL7" s="171">
        <v>2.61</v>
      </c>
      <c r="AM7" s="86">
        <v>49</v>
      </c>
      <c r="AN7" s="119">
        <v>45716</v>
      </c>
      <c r="AO7" s="2">
        <v>173</v>
      </c>
      <c r="AP7" s="85">
        <v>68.92</v>
      </c>
      <c r="AQ7" s="171">
        <v>2.5099999999999998</v>
      </c>
      <c r="AR7" s="85">
        <v>56</v>
      </c>
      <c r="AS7" s="119">
        <v>45713</v>
      </c>
    </row>
    <row r="8" spans="1:45" x14ac:dyDescent="0.3">
      <c r="A8" s="12">
        <v>12</v>
      </c>
      <c r="B8" s="14">
        <v>3.86</v>
      </c>
      <c r="C8" s="16">
        <v>3.11</v>
      </c>
      <c r="D8" s="86">
        <v>43</v>
      </c>
      <c r="E8" s="119">
        <v>45692</v>
      </c>
      <c r="F8" s="12">
        <v>31</v>
      </c>
      <c r="G8" s="86">
        <v>8.4</v>
      </c>
      <c r="H8" s="15">
        <v>3.69</v>
      </c>
      <c r="I8" s="87">
        <v>30</v>
      </c>
      <c r="J8" s="119">
        <v>45716</v>
      </c>
      <c r="K8" s="2">
        <v>15</v>
      </c>
      <c r="L8" s="80">
        <v>4.46</v>
      </c>
      <c r="M8" s="81">
        <v>3.36</v>
      </c>
      <c r="N8" s="86">
        <v>43</v>
      </c>
      <c r="O8" s="119">
        <v>45692</v>
      </c>
      <c r="P8" s="12">
        <v>43</v>
      </c>
      <c r="Q8" s="171">
        <v>19.02</v>
      </c>
      <c r="R8" s="84">
        <v>2.2599999999999998</v>
      </c>
      <c r="S8" s="86">
        <v>47</v>
      </c>
      <c r="T8" s="119">
        <v>45716</v>
      </c>
      <c r="U8" s="12">
        <v>85</v>
      </c>
      <c r="V8" s="168">
        <v>29.1</v>
      </c>
      <c r="W8" s="82">
        <v>2.92</v>
      </c>
      <c r="X8" s="86">
        <v>45</v>
      </c>
      <c r="Y8" s="119">
        <v>45705</v>
      </c>
      <c r="Z8" s="2">
        <v>60</v>
      </c>
      <c r="AA8" s="85">
        <v>21.49</v>
      </c>
      <c r="AB8" s="82">
        <v>2.79</v>
      </c>
      <c r="AC8" s="85">
        <v>53</v>
      </c>
      <c r="AD8" s="119">
        <v>45692</v>
      </c>
      <c r="AE8" s="12">
        <v>155</v>
      </c>
      <c r="AF8" s="84">
        <v>67.180000000000007</v>
      </c>
      <c r="AG8" s="84">
        <v>2.31</v>
      </c>
      <c r="AH8" s="85">
        <v>53</v>
      </c>
      <c r="AI8" s="119">
        <v>45696</v>
      </c>
      <c r="AJ8" s="12">
        <v>206</v>
      </c>
      <c r="AK8" s="87">
        <v>79.38</v>
      </c>
      <c r="AL8" s="171">
        <v>2.6</v>
      </c>
      <c r="AM8" s="85">
        <v>53</v>
      </c>
      <c r="AN8" s="119">
        <v>45702</v>
      </c>
      <c r="AO8" s="2">
        <v>195</v>
      </c>
      <c r="AP8" s="86">
        <v>74.05</v>
      </c>
      <c r="AQ8" s="171">
        <v>2.63</v>
      </c>
      <c r="AR8" s="85">
        <v>56</v>
      </c>
      <c r="AS8" s="119">
        <v>45705</v>
      </c>
    </row>
    <row r="9" spans="1:45" x14ac:dyDescent="0.3">
      <c r="A9" s="12">
        <v>11</v>
      </c>
      <c r="B9" s="14">
        <v>3.89</v>
      </c>
      <c r="C9" s="82">
        <v>2.83</v>
      </c>
      <c r="D9" s="86">
        <v>39</v>
      </c>
      <c r="E9" s="119">
        <v>45711</v>
      </c>
      <c r="F9" s="12">
        <v>15</v>
      </c>
      <c r="G9" s="80">
        <v>4.07</v>
      </c>
      <c r="H9" s="15">
        <v>3.69</v>
      </c>
      <c r="I9" s="85">
        <v>50</v>
      </c>
      <c r="J9" s="119">
        <v>45706</v>
      </c>
      <c r="K9" s="2">
        <v>11</v>
      </c>
      <c r="L9" s="14">
        <v>3.74</v>
      </c>
      <c r="M9" s="82">
        <v>2.94</v>
      </c>
      <c r="N9" s="86">
        <v>42</v>
      </c>
      <c r="O9" s="119">
        <v>45706</v>
      </c>
      <c r="P9" s="12">
        <v>49</v>
      </c>
      <c r="Q9" s="84">
        <v>20.52</v>
      </c>
      <c r="R9" s="84">
        <v>2.39</v>
      </c>
      <c r="S9" s="86">
        <v>47</v>
      </c>
      <c r="T9" s="119">
        <v>45716</v>
      </c>
      <c r="U9" s="12">
        <v>76</v>
      </c>
      <c r="V9" s="88">
        <v>26.04</v>
      </c>
      <c r="W9" s="82">
        <v>2.92</v>
      </c>
      <c r="X9" s="86">
        <v>48</v>
      </c>
      <c r="Y9" s="119">
        <v>45704</v>
      </c>
      <c r="Z9" s="2">
        <v>82</v>
      </c>
      <c r="AA9" s="87">
        <v>25.92</v>
      </c>
      <c r="AB9" s="16">
        <v>3.16</v>
      </c>
      <c r="AC9" s="85">
        <v>52</v>
      </c>
      <c r="AD9" s="119">
        <v>45705</v>
      </c>
      <c r="AE9" s="12">
        <v>146</v>
      </c>
      <c r="AF9" s="84">
        <v>67.19</v>
      </c>
      <c r="AG9" s="85">
        <v>2.17</v>
      </c>
      <c r="AH9" s="85">
        <v>50</v>
      </c>
      <c r="AI9" s="119">
        <v>45692</v>
      </c>
      <c r="AJ9" s="12">
        <v>188</v>
      </c>
      <c r="AK9" s="86">
        <v>72.540000000000006</v>
      </c>
      <c r="AL9" s="171">
        <v>2.59</v>
      </c>
      <c r="AM9" s="85">
        <v>56</v>
      </c>
      <c r="AN9" s="119">
        <v>45696</v>
      </c>
      <c r="AO9" s="2">
        <v>188</v>
      </c>
      <c r="AP9" s="86">
        <v>72.540000000000006</v>
      </c>
      <c r="AQ9" s="171">
        <v>2.59</v>
      </c>
      <c r="AR9" s="85">
        <v>56</v>
      </c>
      <c r="AS9" s="119">
        <v>45696</v>
      </c>
    </row>
    <row r="10" spans="1:45" x14ac:dyDescent="0.3">
      <c r="A10" s="79">
        <v>11</v>
      </c>
      <c r="B10" s="79">
        <v>3.47</v>
      </c>
      <c r="C10" s="16">
        <v>3.17</v>
      </c>
      <c r="D10" s="86">
        <v>48</v>
      </c>
      <c r="E10" s="119">
        <v>45717</v>
      </c>
      <c r="F10" s="79">
        <v>14</v>
      </c>
      <c r="G10" s="14">
        <v>3.73</v>
      </c>
      <c r="H10" s="80">
        <v>3.75</v>
      </c>
      <c r="I10" s="85">
        <v>54</v>
      </c>
      <c r="J10" s="119">
        <v>45717</v>
      </c>
      <c r="K10" s="79">
        <v>14</v>
      </c>
      <c r="L10" s="14">
        <v>3.73</v>
      </c>
      <c r="M10" s="80">
        <v>3.75</v>
      </c>
      <c r="N10" s="85">
        <v>54</v>
      </c>
      <c r="O10" s="119">
        <v>45717</v>
      </c>
      <c r="P10" s="79">
        <v>48</v>
      </c>
      <c r="Q10" s="84">
        <v>20.59</v>
      </c>
      <c r="R10" s="84">
        <v>2.33</v>
      </c>
      <c r="S10" s="86">
        <v>45</v>
      </c>
      <c r="T10" s="119">
        <v>45722</v>
      </c>
      <c r="U10" s="79">
        <v>73</v>
      </c>
      <c r="V10" s="87">
        <v>25.04</v>
      </c>
      <c r="W10" s="82">
        <v>2.92</v>
      </c>
      <c r="X10" s="85">
        <v>50</v>
      </c>
      <c r="Y10" s="119">
        <v>45730</v>
      </c>
      <c r="Z10" s="79">
        <v>62</v>
      </c>
      <c r="AA10" s="85">
        <v>21.72</v>
      </c>
      <c r="AB10" s="82">
        <v>2.85</v>
      </c>
      <c r="AC10" s="85">
        <v>54</v>
      </c>
      <c r="AD10" s="119">
        <v>45722</v>
      </c>
      <c r="AE10" s="79">
        <v>167</v>
      </c>
      <c r="AF10" s="84">
        <v>65</v>
      </c>
      <c r="AG10" s="171">
        <v>2.57</v>
      </c>
      <c r="AH10" s="84">
        <v>60</v>
      </c>
      <c r="AI10" s="119">
        <v>45730</v>
      </c>
      <c r="AJ10" s="79">
        <v>221</v>
      </c>
      <c r="AK10" s="87">
        <v>77.930000000000007</v>
      </c>
      <c r="AL10" s="82">
        <v>2.84</v>
      </c>
      <c r="AM10" s="84">
        <v>58</v>
      </c>
      <c r="AN10" s="119">
        <v>45733</v>
      </c>
      <c r="AO10" s="79">
        <v>167</v>
      </c>
      <c r="AP10" s="84">
        <v>65</v>
      </c>
      <c r="AQ10" s="171">
        <v>2.57</v>
      </c>
      <c r="AR10" s="84">
        <v>60</v>
      </c>
      <c r="AS10" s="119">
        <v>45730</v>
      </c>
    </row>
    <row r="11" spans="1:45" x14ac:dyDescent="0.3">
      <c r="A11" s="12">
        <v>10</v>
      </c>
      <c r="B11" s="14">
        <v>3.63</v>
      </c>
      <c r="C11" s="82">
        <v>2.75</v>
      </c>
      <c r="D11" s="86">
        <v>40</v>
      </c>
      <c r="E11" s="119">
        <v>45721</v>
      </c>
      <c r="F11" s="12">
        <v>25</v>
      </c>
      <c r="G11" s="171">
        <v>6.71</v>
      </c>
      <c r="H11" s="15">
        <v>3.73</v>
      </c>
      <c r="I11" s="87">
        <v>35</v>
      </c>
      <c r="J11" s="119">
        <v>45717</v>
      </c>
      <c r="K11" s="2">
        <v>13</v>
      </c>
      <c r="L11" s="14">
        <v>3.8</v>
      </c>
      <c r="M11" s="81">
        <v>3.42</v>
      </c>
      <c r="N11" s="86">
        <v>48</v>
      </c>
      <c r="O11" s="119">
        <v>45717</v>
      </c>
      <c r="P11" s="12">
        <v>31</v>
      </c>
      <c r="Q11" s="84">
        <v>20.85</v>
      </c>
      <c r="R11" s="87">
        <v>1.49</v>
      </c>
      <c r="S11" s="87">
        <v>29</v>
      </c>
      <c r="T11" s="119">
        <v>45742</v>
      </c>
      <c r="U11" s="12">
        <v>66</v>
      </c>
      <c r="V11" s="86">
        <v>22.74</v>
      </c>
      <c r="W11" s="82">
        <v>2.9</v>
      </c>
      <c r="X11" s="85">
        <v>53</v>
      </c>
      <c r="Y11" s="119">
        <v>45730</v>
      </c>
      <c r="Z11" s="2">
        <v>66</v>
      </c>
      <c r="AA11" s="86">
        <v>22.74</v>
      </c>
      <c r="AB11" s="82">
        <v>2.9</v>
      </c>
      <c r="AC11" s="85">
        <v>53</v>
      </c>
      <c r="AD11" s="119">
        <v>45730</v>
      </c>
      <c r="AE11" s="12">
        <v>147</v>
      </c>
      <c r="AF11" s="84">
        <v>65.08</v>
      </c>
      <c r="AG11" s="84">
        <v>2.2599999999999998</v>
      </c>
      <c r="AH11" s="85">
        <v>53</v>
      </c>
      <c r="AI11" s="119">
        <v>45745</v>
      </c>
      <c r="AJ11" s="12">
        <v>184</v>
      </c>
      <c r="AK11" s="85">
        <v>69.45</v>
      </c>
      <c r="AL11" s="171">
        <v>2.65</v>
      </c>
      <c r="AM11" s="84">
        <v>59</v>
      </c>
      <c r="AN11" s="119">
        <v>45743</v>
      </c>
      <c r="AO11" s="2">
        <v>177</v>
      </c>
      <c r="AP11" s="84">
        <v>67.37</v>
      </c>
      <c r="AQ11" s="171">
        <v>2.63</v>
      </c>
      <c r="AR11" s="84">
        <v>60</v>
      </c>
      <c r="AS11" s="119">
        <v>45727</v>
      </c>
    </row>
    <row r="12" spans="1:45" x14ac:dyDescent="0.3">
      <c r="A12" s="12">
        <v>11</v>
      </c>
      <c r="B12" s="14">
        <v>3.67</v>
      </c>
      <c r="C12" s="16">
        <v>3</v>
      </c>
      <c r="D12" s="86">
        <v>43</v>
      </c>
      <c r="E12" s="119">
        <v>45717</v>
      </c>
      <c r="F12" s="12">
        <v>17</v>
      </c>
      <c r="G12" s="15">
        <v>4.58</v>
      </c>
      <c r="H12" s="15">
        <v>3.71</v>
      </c>
      <c r="I12" s="86">
        <v>46</v>
      </c>
      <c r="J12" s="119">
        <v>45720</v>
      </c>
      <c r="K12" s="2">
        <v>11</v>
      </c>
      <c r="L12" s="79">
        <v>3.47</v>
      </c>
      <c r="M12" s="16">
        <v>3.17</v>
      </c>
      <c r="N12" s="86">
        <v>48</v>
      </c>
      <c r="O12" s="119">
        <v>45717</v>
      </c>
      <c r="P12" s="12">
        <v>53</v>
      </c>
      <c r="Q12" s="85">
        <v>21.59</v>
      </c>
      <c r="R12" s="84">
        <v>2.4500000000000002</v>
      </c>
      <c r="S12" s="86">
        <v>46</v>
      </c>
      <c r="T12" s="119">
        <v>45722</v>
      </c>
      <c r="U12" s="12">
        <v>68</v>
      </c>
      <c r="V12" s="86">
        <v>23.56</v>
      </c>
      <c r="W12" s="82">
        <v>2.89</v>
      </c>
      <c r="X12" s="85">
        <v>51</v>
      </c>
      <c r="Y12" s="119">
        <v>45730</v>
      </c>
      <c r="Z12" s="2">
        <v>68</v>
      </c>
      <c r="AA12" s="86">
        <v>23.56</v>
      </c>
      <c r="AB12" s="82">
        <v>2.89</v>
      </c>
      <c r="AC12" s="85">
        <v>51</v>
      </c>
      <c r="AD12" s="119">
        <v>45730</v>
      </c>
      <c r="AE12" s="12">
        <v>135</v>
      </c>
      <c r="AF12" s="84">
        <v>65.959999999999994</v>
      </c>
      <c r="AG12" s="85">
        <v>2.0499999999999998</v>
      </c>
      <c r="AH12" s="86">
        <v>47</v>
      </c>
      <c r="AI12" s="119">
        <v>45745</v>
      </c>
      <c r="AJ12" s="12">
        <v>201</v>
      </c>
      <c r="AK12" s="87">
        <v>76.33</v>
      </c>
      <c r="AL12" s="171">
        <v>2.63</v>
      </c>
      <c r="AM12" s="85">
        <v>55</v>
      </c>
      <c r="AN12" s="119">
        <v>45742</v>
      </c>
      <c r="AO12" s="2">
        <v>184</v>
      </c>
      <c r="AP12" s="85">
        <v>69.45</v>
      </c>
      <c r="AQ12" s="171">
        <v>2.65</v>
      </c>
      <c r="AR12" s="84">
        <v>59</v>
      </c>
      <c r="AS12" s="119">
        <v>45743</v>
      </c>
    </row>
    <row r="13" spans="1:45" x14ac:dyDescent="0.3">
      <c r="A13" s="12">
        <v>10</v>
      </c>
      <c r="B13" s="14">
        <v>3.69</v>
      </c>
      <c r="C13" s="171">
        <v>2.71</v>
      </c>
      <c r="D13" s="86">
        <v>39</v>
      </c>
      <c r="E13" s="119">
        <v>45717</v>
      </c>
      <c r="F13" s="12">
        <v>17</v>
      </c>
      <c r="G13" s="15">
        <v>4.66</v>
      </c>
      <c r="H13" s="15">
        <v>3.65</v>
      </c>
      <c r="I13" s="86">
        <v>45</v>
      </c>
      <c r="J13" s="119">
        <v>45717</v>
      </c>
      <c r="K13" s="2">
        <v>17</v>
      </c>
      <c r="L13" s="15">
        <v>4.58</v>
      </c>
      <c r="M13" s="15">
        <v>3.71</v>
      </c>
      <c r="N13" s="86">
        <v>46</v>
      </c>
      <c r="O13" s="119">
        <v>45720</v>
      </c>
      <c r="P13" s="12">
        <v>62</v>
      </c>
      <c r="Q13" s="85">
        <v>21.72</v>
      </c>
      <c r="R13" s="82">
        <v>2.85</v>
      </c>
      <c r="S13" s="85">
        <v>54</v>
      </c>
      <c r="T13" s="119">
        <v>45722</v>
      </c>
      <c r="U13" s="12">
        <v>78</v>
      </c>
      <c r="V13" s="88">
        <v>27.03</v>
      </c>
      <c r="W13" s="82">
        <v>2.89</v>
      </c>
      <c r="X13" s="86">
        <v>47</v>
      </c>
      <c r="Y13" s="119">
        <v>45744</v>
      </c>
      <c r="Z13" s="2">
        <v>73</v>
      </c>
      <c r="AA13" s="87">
        <v>25.04</v>
      </c>
      <c r="AB13" s="82">
        <v>2.92</v>
      </c>
      <c r="AC13" s="85">
        <v>50</v>
      </c>
      <c r="AD13" s="119">
        <v>45730</v>
      </c>
      <c r="AE13" s="12">
        <v>144</v>
      </c>
      <c r="AF13" s="84">
        <v>66.7</v>
      </c>
      <c r="AG13" s="85">
        <v>2.16</v>
      </c>
      <c r="AH13" s="85">
        <v>50</v>
      </c>
      <c r="AI13" s="119">
        <v>45744</v>
      </c>
      <c r="AJ13" s="12">
        <v>177</v>
      </c>
      <c r="AK13" s="84">
        <v>67.37</v>
      </c>
      <c r="AL13" s="171">
        <v>2.63</v>
      </c>
      <c r="AM13" s="84">
        <v>60</v>
      </c>
      <c r="AN13" s="119">
        <v>45727</v>
      </c>
      <c r="AO13" s="2">
        <v>221</v>
      </c>
      <c r="AP13" s="87">
        <v>77.930000000000007</v>
      </c>
      <c r="AQ13" s="82">
        <v>2.84</v>
      </c>
      <c r="AR13" s="84">
        <v>58</v>
      </c>
      <c r="AS13" s="119">
        <v>45733</v>
      </c>
    </row>
    <row r="14" spans="1:45" x14ac:dyDescent="0.3">
      <c r="A14" s="12">
        <v>11</v>
      </c>
      <c r="B14" s="14">
        <v>3.7</v>
      </c>
      <c r="C14" s="82">
        <v>2.97</v>
      </c>
      <c r="D14" s="86">
        <v>43</v>
      </c>
      <c r="E14" s="119">
        <v>45717</v>
      </c>
      <c r="F14" s="12">
        <v>24</v>
      </c>
      <c r="G14" s="171">
        <v>6.7</v>
      </c>
      <c r="H14" s="15">
        <v>3.58</v>
      </c>
      <c r="I14" s="87">
        <v>34</v>
      </c>
      <c r="J14" s="119">
        <v>45717</v>
      </c>
      <c r="K14" s="2">
        <v>14</v>
      </c>
      <c r="L14" s="80">
        <v>4.13</v>
      </c>
      <c r="M14" s="81">
        <v>3.39</v>
      </c>
      <c r="N14" s="86">
        <v>45</v>
      </c>
      <c r="O14" s="119">
        <v>45717</v>
      </c>
      <c r="P14" s="12">
        <v>49</v>
      </c>
      <c r="Q14" s="86">
        <v>22.07</v>
      </c>
      <c r="R14" s="85">
        <v>2.2200000000000002</v>
      </c>
      <c r="S14" s="86">
        <v>41</v>
      </c>
      <c r="T14" s="119">
        <v>45730</v>
      </c>
      <c r="U14" s="12">
        <v>75</v>
      </c>
      <c r="V14" s="88">
        <v>26.05</v>
      </c>
      <c r="W14" s="82">
        <v>2.88</v>
      </c>
      <c r="X14" s="86">
        <v>48</v>
      </c>
      <c r="Y14" s="119">
        <v>45727</v>
      </c>
      <c r="Z14" s="2">
        <v>62</v>
      </c>
      <c r="AA14" s="86">
        <v>23.09</v>
      </c>
      <c r="AB14" s="171">
        <v>2.69</v>
      </c>
      <c r="AC14" s="86">
        <v>48</v>
      </c>
      <c r="AD14" s="119">
        <v>45741</v>
      </c>
      <c r="AE14" s="12">
        <v>162</v>
      </c>
      <c r="AF14" s="84">
        <v>66.709999999999994</v>
      </c>
      <c r="AG14" s="84">
        <v>2.4300000000000002</v>
      </c>
      <c r="AH14" s="85">
        <v>56</v>
      </c>
      <c r="AI14" s="119">
        <v>45746</v>
      </c>
      <c r="AJ14" s="12">
        <v>202</v>
      </c>
      <c r="AK14" s="87">
        <v>76.959999999999994</v>
      </c>
      <c r="AL14" s="171">
        <v>2.62</v>
      </c>
      <c r="AM14" s="85">
        <v>55</v>
      </c>
      <c r="AN14" s="119">
        <v>45734</v>
      </c>
      <c r="AO14" s="2">
        <v>176</v>
      </c>
      <c r="AP14" s="85">
        <v>68.63</v>
      </c>
      <c r="AQ14" s="171">
        <v>2.56</v>
      </c>
      <c r="AR14" s="84">
        <v>58</v>
      </c>
      <c r="AS14" s="119">
        <v>45742</v>
      </c>
    </row>
    <row r="15" spans="1:45" x14ac:dyDescent="0.3">
      <c r="A15" s="12">
        <v>14</v>
      </c>
      <c r="B15" s="14">
        <v>3.73</v>
      </c>
      <c r="C15" s="80">
        <v>3.75</v>
      </c>
      <c r="D15" s="85">
        <v>54</v>
      </c>
      <c r="E15" s="119">
        <v>45717</v>
      </c>
      <c r="F15" s="12">
        <v>27</v>
      </c>
      <c r="G15" s="85">
        <v>7.6</v>
      </c>
      <c r="H15" s="15">
        <v>3.55</v>
      </c>
      <c r="I15" s="87">
        <v>31</v>
      </c>
      <c r="J15" s="119">
        <v>45717</v>
      </c>
      <c r="K15" s="2">
        <v>17</v>
      </c>
      <c r="L15" s="15">
        <v>4.66</v>
      </c>
      <c r="M15" s="15">
        <v>3.65</v>
      </c>
      <c r="N15" s="86">
        <v>45</v>
      </c>
      <c r="O15" s="119">
        <v>45717</v>
      </c>
      <c r="P15" s="12">
        <v>48</v>
      </c>
      <c r="Q15" s="86">
        <v>22.32</v>
      </c>
      <c r="R15" s="85">
        <v>2.15</v>
      </c>
      <c r="S15" s="86">
        <v>40</v>
      </c>
      <c r="T15" s="119">
        <v>45742</v>
      </c>
      <c r="U15" s="12">
        <v>62</v>
      </c>
      <c r="V15" s="85">
        <v>21.72</v>
      </c>
      <c r="W15" s="82">
        <v>2.85</v>
      </c>
      <c r="X15" s="85">
        <v>54</v>
      </c>
      <c r="Y15" s="119">
        <v>45722</v>
      </c>
      <c r="Z15" s="2">
        <v>75</v>
      </c>
      <c r="AA15" s="88">
        <v>26.05</v>
      </c>
      <c r="AB15" s="82">
        <v>2.88</v>
      </c>
      <c r="AC15" s="86">
        <v>48</v>
      </c>
      <c r="AD15" s="119">
        <v>45727</v>
      </c>
      <c r="AE15" s="12">
        <v>139</v>
      </c>
      <c r="AF15" s="84">
        <v>66.849999999999994</v>
      </c>
      <c r="AG15" s="85">
        <v>2.08</v>
      </c>
      <c r="AH15" s="86">
        <v>48</v>
      </c>
      <c r="AI15" s="119">
        <v>45722</v>
      </c>
      <c r="AJ15" s="12">
        <v>210</v>
      </c>
      <c r="AK15" s="88">
        <v>80.97</v>
      </c>
      <c r="AL15" s="171">
        <v>2.59</v>
      </c>
      <c r="AM15" s="85">
        <v>52</v>
      </c>
      <c r="AN15" s="119">
        <v>45735</v>
      </c>
      <c r="AO15" s="2">
        <v>171</v>
      </c>
      <c r="AP15" s="85">
        <v>68.55</v>
      </c>
      <c r="AQ15" s="84">
        <v>2.4900000000000002</v>
      </c>
      <c r="AR15" s="85">
        <v>56</v>
      </c>
      <c r="AS15" s="119">
        <v>45730</v>
      </c>
    </row>
    <row r="16" spans="1:45" x14ac:dyDescent="0.3">
      <c r="A16" s="12">
        <v>10</v>
      </c>
      <c r="B16" s="14">
        <v>3.78</v>
      </c>
      <c r="C16" s="171">
        <v>2.65</v>
      </c>
      <c r="D16" s="86">
        <v>38</v>
      </c>
      <c r="E16" s="119">
        <v>45717</v>
      </c>
      <c r="F16" s="12">
        <v>28</v>
      </c>
      <c r="G16" s="85">
        <v>7.91</v>
      </c>
      <c r="H16" s="15">
        <v>3.54</v>
      </c>
      <c r="I16" s="87">
        <v>30</v>
      </c>
      <c r="J16" s="119">
        <v>45717</v>
      </c>
      <c r="K16" s="2">
        <v>14</v>
      </c>
      <c r="L16" s="80">
        <v>4.17</v>
      </c>
      <c r="M16" s="81">
        <v>3.36</v>
      </c>
      <c r="N16" s="86">
        <v>44</v>
      </c>
      <c r="O16" s="119">
        <v>45721</v>
      </c>
      <c r="P16" s="12">
        <v>59</v>
      </c>
      <c r="Q16" s="86">
        <v>22.69</v>
      </c>
      <c r="R16" s="171">
        <v>2.6</v>
      </c>
      <c r="S16" s="86">
        <v>47</v>
      </c>
      <c r="T16" s="119">
        <v>45727</v>
      </c>
      <c r="U16" s="12">
        <v>79</v>
      </c>
      <c r="V16" s="168">
        <v>28.64</v>
      </c>
      <c r="W16" s="82">
        <v>2.76</v>
      </c>
      <c r="X16" s="86">
        <v>43</v>
      </c>
      <c r="Y16" s="119">
        <v>45741</v>
      </c>
      <c r="Z16" s="2">
        <v>59</v>
      </c>
      <c r="AA16" s="86">
        <v>22.69</v>
      </c>
      <c r="AB16" s="171">
        <v>2.6</v>
      </c>
      <c r="AC16" s="86">
        <v>47</v>
      </c>
      <c r="AD16" s="119">
        <v>45727</v>
      </c>
      <c r="AE16" s="12">
        <v>162</v>
      </c>
      <c r="AF16" s="84">
        <v>66.92</v>
      </c>
      <c r="AG16" s="84">
        <v>2.42</v>
      </c>
      <c r="AH16" s="85">
        <v>56</v>
      </c>
      <c r="AI16" s="119">
        <v>45741</v>
      </c>
      <c r="AJ16" s="12">
        <v>167</v>
      </c>
      <c r="AK16" s="84">
        <v>65</v>
      </c>
      <c r="AL16" s="171">
        <v>2.57</v>
      </c>
      <c r="AM16" s="84">
        <v>60</v>
      </c>
      <c r="AN16" s="119">
        <v>45730</v>
      </c>
      <c r="AO16" s="2">
        <v>162</v>
      </c>
      <c r="AP16" s="84">
        <v>66.709999999999994</v>
      </c>
      <c r="AQ16" s="84">
        <v>2.4300000000000002</v>
      </c>
      <c r="AR16" s="85">
        <v>56</v>
      </c>
      <c r="AS16" s="119">
        <v>45746</v>
      </c>
    </row>
    <row r="17" spans="1:45" x14ac:dyDescent="0.3">
      <c r="A17" s="12">
        <v>11</v>
      </c>
      <c r="B17" s="14">
        <v>3.8</v>
      </c>
      <c r="C17" s="82">
        <v>2.89</v>
      </c>
      <c r="D17" s="86">
        <v>41</v>
      </c>
      <c r="E17" s="119">
        <v>45717</v>
      </c>
      <c r="F17" s="12">
        <v>19</v>
      </c>
      <c r="G17" s="81">
        <v>5.46</v>
      </c>
      <c r="H17" s="81">
        <v>3.48</v>
      </c>
      <c r="I17" s="86">
        <v>38</v>
      </c>
      <c r="J17" s="119">
        <v>45717</v>
      </c>
      <c r="K17" s="2">
        <v>14</v>
      </c>
      <c r="L17" s="80">
        <v>4.18</v>
      </c>
      <c r="M17" s="81">
        <v>3.35</v>
      </c>
      <c r="N17" s="86">
        <v>44</v>
      </c>
      <c r="O17" s="119">
        <v>45717</v>
      </c>
      <c r="P17" s="12">
        <v>66</v>
      </c>
      <c r="Q17" s="86">
        <v>22.74</v>
      </c>
      <c r="R17" s="82">
        <v>2.9</v>
      </c>
      <c r="S17" s="85">
        <v>53</v>
      </c>
      <c r="T17" s="119">
        <v>45730</v>
      </c>
      <c r="U17" s="12">
        <v>78</v>
      </c>
      <c r="V17" s="168">
        <v>28.66</v>
      </c>
      <c r="W17" s="171">
        <v>2.72</v>
      </c>
      <c r="X17" s="86">
        <v>42</v>
      </c>
      <c r="Y17" s="119">
        <v>45739</v>
      </c>
      <c r="Z17" s="2">
        <v>78</v>
      </c>
      <c r="AA17" s="88">
        <v>27.03</v>
      </c>
      <c r="AB17" s="82">
        <v>2.89</v>
      </c>
      <c r="AC17" s="86">
        <v>47</v>
      </c>
      <c r="AD17" s="119">
        <v>45744</v>
      </c>
      <c r="AE17" s="12">
        <v>177</v>
      </c>
      <c r="AF17" s="84">
        <v>67.37</v>
      </c>
      <c r="AG17" s="171">
        <v>2.63</v>
      </c>
      <c r="AH17" s="84">
        <v>60</v>
      </c>
      <c r="AI17" s="119">
        <v>45727</v>
      </c>
      <c r="AJ17" s="12">
        <v>176</v>
      </c>
      <c r="AK17" s="85">
        <v>68.63</v>
      </c>
      <c r="AL17" s="171">
        <v>2.56</v>
      </c>
      <c r="AM17" s="84">
        <v>58</v>
      </c>
      <c r="AN17" s="119">
        <v>45742</v>
      </c>
      <c r="AO17" s="2">
        <v>179</v>
      </c>
      <c r="AP17" s="86">
        <v>70.84</v>
      </c>
      <c r="AQ17" s="171">
        <v>2.5299999999999998</v>
      </c>
      <c r="AR17" s="85">
        <v>56</v>
      </c>
      <c r="AS17" s="119">
        <v>45731</v>
      </c>
    </row>
    <row r="18" spans="1:45" x14ac:dyDescent="0.3">
      <c r="A18" s="79">
        <v>11</v>
      </c>
      <c r="B18" s="79">
        <v>3.28</v>
      </c>
      <c r="C18" s="81">
        <v>3.35</v>
      </c>
      <c r="D18" s="85">
        <v>53</v>
      </c>
      <c r="E18" s="119">
        <v>45762</v>
      </c>
      <c r="F18" s="79">
        <v>27</v>
      </c>
      <c r="G18" s="16">
        <v>5.78</v>
      </c>
      <c r="H18" s="78">
        <v>4.67</v>
      </c>
      <c r="I18" s="86">
        <v>49</v>
      </c>
      <c r="J18" s="119">
        <v>45763</v>
      </c>
      <c r="K18" s="79">
        <v>11</v>
      </c>
      <c r="L18" s="79">
        <v>3.28</v>
      </c>
      <c r="M18" s="81">
        <v>3.35</v>
      </c>
      <c r="N18" s="85">
        <v>53</v>
      </c>
      <c r="O18" s="119">
        <v>45762</v>
      </c>
      <c r="P18" s="79">
        <v>40</v>
      </c>
      <c r="Q18" s="15">
        <v>15.62</v>
      </c>
      <c r="R18" s="171">
        <v>2.56</v>
      </c>
      <c r="S18" s="84">
        <v>61</v>
      </c>
      <c r="T18" s="119">
        <v>45766</v>
      </c>
      <c r="U18" s="79">
        <v>99</v>
      </c>
      <c r="V18" s="168">
        <v>29.36</v>
      </c>
      <c r="W18" s="81">
        <v>3.37</v>
      </c>
      <c r="X18" s="85">
        <v>51</v>
      </c>
      <c r="Y18" s="119">
        <v>45763</v>
      </c>
      <c r="Z18" s="79">
        <v>61</v>
      </c>
      <c r="AA18" s="171">
        <v>19.22</v>
      </c>
      <c r="AB18" s="16">
        <v>3.17</v>
      </c>
      <c r="AC18" s="171">
        <v>65</v>
      </c>
      <c r="AD18" s="119">
        <v>45767</v>
      </c>
      <c r="AE18" s="79">
        <v>143</v>
      </c>
      <c r="AF18" s="16">
        <v>57.69</v>
      </c>
      <c r="AG18" s="84">
        <v>2.48</v>
      </c>
      <c r="AH18" s="171">
        <v>63</v>
      </c>
      <c r="AI18" s="119">
        <v>45763</v>
      </c>
      <c r="AJ18" s="79">
        <v>196</v>
      </c>
      <c r="AK18" s="85">
        <v>68.77</v>
      </c>
      <c r="AL18" s="82">
        <v>2.85</v>
      </c>
      <c r="AM18" s="171">
        <v>64</v>
      </c>
      <c r="AN18" s="119">
        <v>45768</v>
      </c>
      <c r="AO18" s="79">
        <v>160</v>
      </c>
      <c r="AP18" s="82">
        <v>60.12</v>
      </c>
      <c r="AQ18" s="171">
        <v>2.66</v>
      </c>
      <c r="AR18" s="171">
        <v>66</v>
      </c>
      <c r="AS18" s="119">
        <v>45772</v>
      </c>
    </row>
    <row r="19" spans="1:45" x14ac:dyDescent="0.3">
      <c r="A19" s="12">
        <v>10</v>
      </c>
      <c r="B19" s="79">
        <v>3.29</v>
      </c>
      <c r="C19" s="16">
        <v>3.04</v>
      </c>
      <c r="D19" s="86">
        <v>48</v>
      </c>
      <c r="E19" s="119">
        <v>45762</v>
      </c>
      <c r="F19" s="12">
        <v>20</v>
      </c>
      <c r="G19" s="15">
        <v>4.8099999999999996</v>
      </c>
      <c r="H19" s="14">
        <v>4.16</v>
      </c>
      <c r="I19" s="85">
        <v>50</v>
      </c>
      <c r="J19" s="119">
        <v>45762</v>
      </c>
      <c r="K19" s="2">
        <v>14</v>
      </c>
      <c r="L19" s="14">
        <v>3.82</v>
      </c>
      <c r="M19" s="15">
        <v>3.66</v>
      </c>
      <c r="N19" s="85">
        <v>52</v>
      </c>
      <c r="O19" s="119">
        <v>45766</v>
      </c>
      <c r="P19" s="12">
        <v>38</v>
      </c>
      <c r="Q19" s="81">
        <v>16.78</v>
      </c>
      <c r="R19" s="84">
        <v>2.2599999999999998</v>
      </c>
      <c r="S19" s="85">
        <v>51</v>
      </c>
      <c r="T19" s="119">
        <v>45776</v>
      </c>
      <c r="U19" s="12">
        <v>88</v>
      </c>
      <c r="V19" s="88">
        <v>26.13</v>
      </c>
      <c r="W19" s="81">
        <v>3.37</v>
      </c>
      <c r="X19" s="85">
        <v>56</v>
      </c>
      <c r="Y19" s="119">
        <v>45777</v>
      </c>
      <c r="Z19" s="2">
        <v>55</v>
      </c>
      <c r="AA19" s="82">
        <v>18.420000000000002</v>
      </c>
      <c r="AB19" s="82">
        <v>2.99</v>
      </c>
      <c r="AC19" s="171">
        <v>63</v>
      </c>
      <c r="AD19" s="119">
        <v>45755</v>
      </c>
      <c r="AE19" s="12">
        <v>147</v>
      </c>
      <c r="AF19" s="16">
        <v>58.92</v>
      </c>
      <c r="AG19" s="84">
        <v>2.4900000000000002</v>
      </c>
      <c r="AH19" s="171">
        <v>63</v>
      </c>
      <c r="AI19" s="119">
        <v>45761</v>
      </c>
      <c r="AJ19" s="12">
        <v>207</v>
      </c>
      <c r="AK19" s="86">
        <v>73.41</v>
      </c>
      <c r="AL19" s="82">
        <v>2.82</v>
      </c>
      <c r="AM19" s="84">
        <v>61</v>
      </c>
      <c r="AN19" s="119">
        <v>45772</v>
      </c>
      <c r="AO19" s="2">
        <v>196</v>
      </c>
      <c r="AP19" s="85">
        <v>68.77</v>
      </c>
      <c r="AQ19" s="82">
        <v>2.85</v>
      </c>
      <c r="AR19" s="171">
        <v>64</v>
      </c>
      <c r="AS19" s="119">
        <v>45768</v>
      </c>
    </row>
    <row r="20" spans="1:45" x14ac:dyDescent="0.3">
      <c r="A20" s="12">
        <v>10</v>
      </c>
      <c r="B20" s="79">
        <v>3.43</v>
      </c>
      <c r="C20" s="82">
        <v>2.92</v>
      </c>
      <c r="D20" s="86">
        <v>44</v>
      </c>
      <c r="E20" s="119">
        <v>45763</v>
      </c>
      <c r="F20" s="12">
        <v>19</v>
      </c>
      <c r="G20" s="15">
        <v>4.68</v>
      </c>
      <c r="H20" s="14">
        <v>4.0599999999999996</v>
      </c>
      <c r="I20" s="85">
        <v>50</v>
      </c>
      <c r="J20" s="119">
        <v>45765</v>
      </c>
      <c r="K20" s="2">
        <v>15</v>
      </c>
      <c r="L20" s="14">
        <v>3.98</v>
      </c>
      <c r="M20" s="80">
        <v>3.77</v>
      </c>
      <c r="N20" s="85">
        <v>52</v>
      </c>
      <c r="O20" s="119">
        <v>45762</v>
      </c>
      <c r="P20" s="12">
        <v>49</v>
      </c>
      <c r="Q20" s="16">
        <v>17.489999999999998</v>
      </c>
      <c r="R20" s="82">
        <v>2.8</v>
      </c>
      <c r="S20" s="84">
        <v>61</v>
      </c>
      <c r="T20" s="119">
        <v>45761</v>
      </c>
      <c r="U20" s="12">
        <v>83</v>
      </c>
      <c r="V20" s="87">
        <v>25.67</v>
      </c>
      <c r="W20" s="16">
        <v>3.23</v>
      </c>
      <c r="X20" s="85">
        <v>54</v>
      </c>
      <c r="Y20" s="119">
        <v>45767</v>
      </c>
      <c r="Z20" s="2">
        <v>49</v>
      </c>
      <c r="AA20" s="16">
        <v>17.489999999999998</v>
      </c>
      <c r="AB20" s="82">
        <v>2.8</v>
      </c>
      <c r="AC20" s="84">
        <v>61</v>
      </c>
      <c r="AD20" s="119">
        <v>45761</v>
      </c>
      <c r="AE20" s="12">
        <v>123</v>
      </c>
      <c r="AF20" s="16">
        <v>58.97</v>
      </c>
      <c r="AG20" s="85">
        <v>2.09</v>
      </c>
      <c r="AH20" s="85">
        <v>52</v>
      </c>
      <c r="AI20" s="119">
        <v>45775</v>
      </c>
      <c r="AJ20" s="12">
        <v>205</v>
      </c>
      <c r="AK20" s="87">
        <v>75.17</v>
      </c>
      <c r="AL20" s="171">
        <v>2.73</v>
      </c>
      <c r="AM20" s="84">
        <v>58</v>
      </c>
      <c r="AN20" s="119">
        <v>45769</v>
      </c>
      <c r="AO20" s="2">
        <v>143</v>
      </c>
      <c r="AP20" s="16">
        <v>57.69</v>
      </c>
      <c r="AQ20" s="84">
        <v>2.48</v>
      </c>
      <c r="AR20" s="171">
        <v>63</v>
      </c>
      <c r="AS20" s="119">
        <v>45763</v>
      </c>
    </row>
    <row r="21" spans="1:45" x14ac:dyDescent="0.3">
      <c r="A21" s="12">
        <v>11</v>
      </c>
      <c r="B21" s="79">
        <v>3.45</v>
      </c>
      <c r="C21" s="16">
        <v>3.19</v>
      </c>
      <c r="D21" s="86">
        <v>48</v>
      </c>
      <c r="E21" s="119">
        <v>45762</v>
      </c>
      <c r="F21" s="12">
        <v>24</v>
      </c>
      <c r="G21" s="16">
        <v>5.93</v>
      </c>
      <c r="H21" s="14">
        <v>4.05</v>
      </c>
      <c r="I21" s="86">
        <v>42</v>
      </c>
      <c r="J21" s="119">
        <v>45766</v>
      </c>
      <c r="K21" s="2">
        <v>14</v>
      </c>
      <c r="L21" s="14">
        <v>3.85</v>
      </c>
      <c r="M21" s="15">
        <v>3.64</v>
      </c>
      <c r="N21" s="85">
        <v>51</v>
      </c>
      <c r="O21" s="119">
        <v>45761</v>
      </c>
      <c r="P21" s="12">
        <v>50</v>
      </c>
      <c r="Q21" s="82">
        <v>18.2</v>
      </c>
      <c r="R21" s="82">
        <v>2.75</v>
      </c>
      <c r="S21" s="84">
        <v>58</v>
      </c>
      <c r="T21" s="119">
        <v>45763</v>
      </c>
      <c r="U21" s="12">
        <v>78</v>
      </c>
      <c r="V21" s="87">
        <v>24.13</v>
      </c>
      <c r="W21" s="16">
        <v>3.23</v>
      </c>
      <c r="X21" s="85">
        <v>56</v>
      </c>
      <c r="Y21" s="119">
        <v>45763</v>
      </c>
      <c r="Z21" s="2">
        <v>65</v>
      </c>
      <c r="AA21" s="84">
        <v>20.74</v>
      </c>
      <c r="AB21" s="16">
        <v>3.13</v>
      </c>
      <c r="AC21" s="84">
        <v>61</v>
      </c>
      <c r="AD21" s="119">
        <v>45763</v>
      </c>
      <c r="AE21" s="12">
        <v>128</v>
      </c>
      <c r="AF21" s="16">
        <v>59.12</v>
      </c>
      <c r="AG21" s="85">
        <v>2.17</v>
      </c>
      <c r="AH21" s="85">
        <v>54</v>
      </c>
      <c r="AI21" s="119">
        <v>45750</v>
      </c>
      <c r="AJ21" s="12">
        <v>197</v>
      </c>
      <c r="AK21" s="86">
        <v>72.5</v>
      </c>
      <c r="AL21" s="171">
        <v>2.72</v>
      </c>
      <c r="AM21" s="84">
        <v>59</v>
      </c>
      <c r="AN21" s="119">
        <v>45765</v>
      </c>
      <c r="AO21" s="2">
        <v>177</v>
      </c>
      <c r="AP21" s="84">
        <v>65.569999999999993</v>
      </c>
      <c r="AQ21" s="171">
        <v>2.7</v>
      </c>
      <c r="AR21" s="171">
        <v>63</v>
      </c>
      <c r="AS21" s="119">
        <v>45767</v>
      </c>
    </row>
    <row r="22" spans="1:45" x14ac:dyDescent="0.3">
      <c r="A22" s="12">
        <v>11</v>
      </c>
      <c r="B22" s="14">
        <v>3.53</v>
      </c>
      <c r="C22" s="16">
        <v>3.12</v>
      </c>
      <c r="D22" s="86">
        <v>46</v>
      </c>
      <c r="E22" s="119">
        <v>45765</v>
      </c>
      <c r="F22" s="12">
        <v>25</v>
      </c>
      <c r="G22" s="82">
        <v>6.18</v>
      </c>
      <c r="H22" s="14">
        <v>4.05</v>
      </c>
      <c r="I22" s="86">
        <v>41</v>
      </c>
      <c r="J22" s="119">
        <v>45763</v>
      </c>
      <c r="K22" s="2">
        <v>12</v>
      </c>
      <c r="L22" s="14">
        <v>3.56</v>
      </c>
      <c r="M22" s="81">
        <v>3.37</v>
      </c>
      <c r="N22" s="85">
        <v>50</v>
      </c>
      <c r="O22" s="119">
        <v>45762</v>
      </c>
      <c r="P22" s="12">
        <v>49</v>
      </c>
      <c r="Q22" s="82">
        <v>18.2</v>
      </c>
      <c r="R22" s="171">
        <v>2.69</v>
      </c>
      <c r="S22" s="84">
        <v>57</v>
      </c>
      <c r="T22" s="119">
        <v>45764</v>
      </c>
      <c r="U22" s="12">
        <v>61</v>
      </c>
      <c r="V22" s="171">
        <v>19.22</v>
      </c>
      <c r="W22" s="16">
        <v>3.17</v>
      </c>
      <c r="X22" s="171">
        <v>65</v>
      </c>
      <c r="Y22" s="119">
        <v>45767</v>
      </c>
      <c r="Z22" s="2">
        <v>40</v>
      </c>
      <c r="AA22" s="15">
        <v>15.62</v>
      </c>
      <c r="AB22" s="171">
        <v>2.56</v>
      </c>
      <c r="AC22" s="84">
        <v>61</v>
      </c>
      <c r="AD22" s="119">
        <v>45766</v>
      </c>
      <c r="AE22" s="12">
        <v>140</v>
      </c>
      <c r="AF22" s="16">
        <v>59.44</v>
      </c>
      <c r="AG22" s="84">
        <v>2.36</v>
      </c>
      <c r="AH22" s="84">
        <v>59</v>
      </c>
      <c r="AI22" s="119">
        <v>45767</v>
      </c>
      <c r="AJ22" s="12">
        <v>206</v>
      </c>
      <c r="AK22" s="87">
        <v>75.819999999999993</v>
      </c>
      <c r="AL22" s="171">
        <v>2.72</v>
      </c>
      <c r="AM22" s="84">
        <v>57</v>
      </c>
      <c r="AN22" s="119">
        <v>45755</v>
      </c>
      <c r="AO22" s="2">
        <v>168</v>
      </c>
      <c r="AP22" s="171">
        <v>63.59</v>
      </c>
      <c r="AQ22" s="171">
        <v>2.64</v>
      </c>
      <c r="AR22" s="171">
        <v>63</v>
      </c>
      <c r="AS22" s="119">
        <v>45763</v>
      </c>
    </row>
    <row r="23" spans="1:45" x14ac:dyDescent="0.3">
      <c r="A23" s="12">
        <v>10</v>
      </c>
      <c r="B23" s="14">
        <v>3.56</v>
      </c>
      <c r="C23" s="82">
        <v>2.81</v>
      </c>
      <c r="D23" s="86">
        <v>42</v>
      </c>
      <c r="E23" s="119">
        <v>45761</v>
      </c>
      <c r="F23" s="12">
        <v>27</v>
      </c>
      <c r="G23" s="171">
        <v>6.88</v>
      </c>
      <c r="H23" s="80">
        <v>3.92</v>
      </c>
      <c r="I23" s="87">
        <v>37</v>
      </c>
      <c r="J23" s="119">
        <v>45765</v>
      </c>
      <c r="K23" s="2">
        <v>20</v>
      </c>
      <c r="L23" s="15">
        <v>4.8099999999999996</v>
      </c>
      <c r="M23" s="14">
        <v>4.16</v>
      </c>
      <c r="N23" s="85">
        <v>50</v>
      </c>
      <c r="O23" s="119">
        <v>45762</v>
      </c>
      <c r="P23" s="12">
        <v>55</v>
      </c>
      <c r="Q23" s="82">
        <v>18.420000000000002</v>
      </c>
      <c r="R23" s="82">
        <v>2.99</v>
      </c>
      <c r="S23" s="171">
        <v>63</v>
      </c>
      <c r="T23" s="119">
        <v>45755</v>
      </c>
      <c r="U23" s="12">
        <v>69</v>
      </c>
      <c r="V23" s="85">
        <v>21.82</v>
      </c>
      <c r="W23" s="16">
        <v>3.16</v>
      </c>
      <c r="X23" s="84">
        <v>59</v>
      </c>
      <c r="Y23" s="119">
        <v>45767</v>
      </c>
      <c r="Z23" s="2">
        <v>60</v>
      </c>
      <c r="AA23" s="171">
        <v>19.920000000000002</v>
      </c>
      <c r="AB23" s="16">
        <v>3.01</v>
      </c>
      <c r="AC23" s="84">
        <v>60</v>
      </c>
      <c r="AD23" s="119">
        <v>45767</v>
      </c>
      <c r="AE23" s="12">
        <v>137</v>
      </c>
      <c r="AF23" s="82">
        <v>60.09</v>
      </c>
      <c r="AG23" s="84">
        <v>2.2799999999999998</v>
      </c>
      <c r="AH23" s="85">
        <v>56</v>
      </c>
      <c r="AI23" s="119">
        <v>45761</v>
      </c>
      <c r="AJ23" s="12">
        <v>208</v>
      </c>
      <c r="AK23" s="87">
        <v>76.849999999999994</v>
      </c>
      <c r="AL23" s="171">
        <v>2.71</v>
      </c>
      <c r="AM23" s="85">
        <v>56</v>
      </c>
      <c r="AN23" s="119">
        <v>45771</v>
      </c>
      <c r="AO23" s="2">
        <v>147</v>
      </c>
      <c r="AP23" s="16">
        <v>58.92</v>
      </c>
      <c r="AQ23" s="84">
        <v>2.4900000000000002</v>
      </c>
      <c r="AR23" s="171">
        <v>63</v>
      </c>
      <c r="AS23" s="119">
        <v>45761</v>
      </c>
    </row>
    <row r="24" spans="1:45" x14ac:dyDescent="0.3">
      <c r="A24" s="12">
        <v>12</v>
      </c>
      <c r="B24" s="14">
        <v>3.56</v>
      </c>
      <c r="C24" s="81">
        <v>3.37</v>
      </c>
      <c r="D24" s="85">
        <v>50</v>
      </c>
      <c r="E24" s="119">
        <v>45762</v>
      </c>
      <c r="F24" s="12">
        <v>27</v>
      </c>
      <c r="G24" s="171">
        <v>6.9</v>
      </c>
      <c r="H24" s="80">
        <v>3.91</v>
      </c>
      <c r="I24" s="87">
        <v>36</v>
      </c>
      <c r="J24" s="119">
        <v>45761</v>
      </c>
      <c r="K24" s="2">
        <v>19</v>
      </c>
      <c r="L24" s="15">
        <v>4.68</v>
      </c>
      <c r="M24" s="14">
        <v>4.0599999999999996</v>
      </c>
      <c r="N24" s="85">
        <v>50</v>
      </c>
      <c r="O24" s="119">
        <v>45765</v>
      </c>
      <c r="P24" s="12">
        <v>49</v>
      </c>
      <c r="Q24" s="82">
        <v>18.61</v>
      </c>
      <c r="R24" s="171">
        <v>2.63</v>
      </c>
      <c r="S24" s="85">
        <v>55</v>
      </c>
      <c r="T24" s="119">
        <v>45762</v>
      </c>
      <c r="U24" s="12">
        <v>77</v>
      </c>
      <c r="V24" s="87">
        <v>24.36</v>
      </c>
      <c r="W24" s="16">
        <v>3.16</v>
      </c>
      <c r="X24" s="85">
        <v>55</v>
      </c>
      <c r="Y24" s="119">
        <v>45762</v>
      </c>
      <c r="Z24" s="2">
        <v>69</v>
      </c>
      <c r="AA24" s="85">
        <v>21.82</v>
      </c>
      <c r="AB24" s="16">
        <v>3.16</v>
      </c>
      <c r="AC24" s="84">
        <v>59</v>
      </c>
      <c r="AD24" s="119">
        <v>45767</v>
      </c>
      <c r="AE24" s="12">
        <v>160</v>
      </c>
      <c r="AF24" s="82">
        <v>60.12</v>
      </c>
      <c r="AG24" s="171">
        <v>2.66</v>
      </c>
      <c r="AH24" s="171">
        <v>66</v>
      </c>
      <c r="AI24" s="119">
        <v>45772</v>
      </c>
      <c r="AJ24" s="12">
        <v>177</v>
      </c>
      <c r="AK24" s="84">
        <v>65.569999999999993</v>
      </c>
      <c r="AL24" s="171">
        <v>2.7</v>
      </c>
      <c r="AM24" s="171">
        <v>63</v>
      </c>
      <c r="AN24" s="119">
        <v>45767</v>
      </c>
      <c r="AO24" s="2">
        <v>161</v>
      </c>
      <c r="AP24" s="82">
        <v>62.35</v>
      </c>
      <c r="AQ24" s="171">
        <v>2.58</v>
      </c>
      <c r="AR24" s="84">
        <v>62</v>
      </c>
      <c r="AS24" s="119">
        <v>45766</v>
      </c>
    </row>
    <row r="25" spans="1:45" x14ac:dyDescent="0.3">
      <c r="A25" s="12">
        <v>11</v>
      </c>
      <c r="B25" s="14">
        <v>3.58</v>
      </c>
      <c r="C25" s="16">
        <v>3.07</v>
      </c>
      <c r="D25" s="86">
        <v>45</v>
      </c>
      <c r="E25" s="119">
        <v>45765</v>
      </c>
      <c r="F25" s="12">
        <v>28</v>
      </c>
      <c r="G25" s="84">
        <v>7.22</v>
      </c>
      <c r="H25" s="80">
        <v>3.88</v>
      </c>
      <c r="I25" s="87">
        <v>35</v>
      </c>
      <c r="J25" s="119">
        <v>45763</v>
      </c>
      <c r="K25" s="2">
        <v>15</v>
      </c>
      <c r="L25" s="80">
        <v>4.08</v>
      </c>
      <c r="M25" s="15">
        <v>3.68</v>
      </c>
      <c r="N25" s="86">
        <v>49</v>
      </c>
      <c r="O25" s="119">
        <v>45756</v>
      </c>
      <c r="P25" s="12">
        <v>49</v>
      </c>
      <c r="Q25" s="82">
        <v>18.62</v>
      </c>
      <c r="R25" s="171">
        <v>2.63</v>
      </c>
      <c r="S25" s="85">
        <v>55</v>
      </c>
      <c r="T25" s="119">
        <v>45763</v>
      </c>
      <c r="U25" s="12">
        <v>82</v>
      </c>
      <c r="V25" s="88">
        <v>26.13</v>
      </c>
      <c r="W25" s="16">
        <v>3.14</v>
      </c>
      <c r="X25" s="85">
        <v>52</v>
      </c>
      <c r="Y25" s="119">
        <v>45764</v>
      </c>
      <c r="Z25" s="2">
        <v>50</v>
      </c>
      <c r="AA25" s="82">
        <v>18.2</v>
      </c>
      <c r="AB25" s="82">
        <v>2.75</v>
      </c>
      <c r="AC25" s="84">
        <v>58</v>
      </c>
      <c r="AD25" s="119">
        <v>45763</v>
      </c>
      <c r="AE25" s="12">
        <v>119</v>
      </c>
      <c r="AF25" s="82">
        <v>60.31</v>
      </c>
      <c r="AG25" s="86">
        <v>1.97</v>
      </c>
      <c r="AH25" s="86">
        <v>49</v>
      </c>
      <c r="AI25" s="119">
        <v>45753</v>
      </c>
      <c r="AJ25" s="12">
        <v>196</v>
      </c>
      <c r="AK25" s="86">
        <v>72.64</v>
      </c>
      <c r="AL25" s="171">
        <v>2.7</v>
      </c>
      <c r="AM25" s="84">
        <v>58</v>
      </c>
      <c r="AN25" s="119">
        <v>45750</v>
      </c>
      <c r="AO25" s="2">
        <v>160</v>
      </c>
      <c r="AP25" s="82">
        <v>62.43</v>
      </c>
      <c r="AQ25" s="171">
        <v>2.56</v>
      </c>
      <c r="AR25" s="84">
        <v>62</v>
      </c>
      <c r="AS25" s="119">
        <v>45768</v>
      </c>
    </row>
    <row r="26" spans="1:45" x14ac:dyDescent="0.3">
      <c r="A26" s="79">
        <v>13</v>
      </c>
      <c r="B26" s="79">
        <v>3.33</v>
      </c>
      <c r="C26" s="80">
        <v>3.9</v>
      </c>
      <c r="D26" s="84">
        <v>61</v>
      </c>
      <c r="E26" s="119">
        <v>45807</v>
      </c>
      <c r="F26" s="79">
        <v>24</v>
      </c>
      <c r="G26" s="16">
        <v>5.91</v>
      </c>
      <c r="H26" s="14">
        <v>4.0599999999999996</v>
      </c>
      <c r="I26" s="86">
        <v>42</v>
      </c>
      <c r="J26" s="119">
        <v>45793</v>
      </c>
      <c r="K26" s="79">
        <v>13</v>
      </c>
      <c r="L26" s="79">
        <v>3.33</v>
      </c>
      <c r="M26" s="80">
        <v>3.9</v>
      </c>
      <c r="N26" s="84">
        <v>61</v>
      </c>
      <c r="O26" s="119">
        <v>45807</v>
      </c>
      <c r="P26" s="79">
        <v>42</v>
      </c>
      <c r="Q26" s="80">
        <v>14.89</v>
      </c>
      <c r="R26" s="82">
        <v>2.82</v>
      </c>
      <c r="S26" s="82">
        <v>69</v>
      </c>
      <c r="T26" s="119">
        <v>45801</v>
      </c>
      <c r="U26" s="79">
        <v>100</v>
      </c>
      <c r="V26" s="88">
        <v>27.72</v>
      </c>
      <c r="W26" s="15">
        <v>3.61</v>
      </c>
      <c r="X26" s="84">
        <v>57</v>
      </c>
      <c r="Y26" s="119">
        <v>45793</v>
      </c>
      <c r="Z26" s="79">
        <v>42</v>
      </c>
      <c r="AA26" s="80">
        <v>14.89</v>
      </c>
      <c r="AB26" s="82">
        <v>2.82</v>
      </c>
      <c r="AC26" s="82">
        <v>69</v>
      </c>
      <c r="AD26" s="119">
        <v>45801</v>
      </c>
      <c r="AE26" s="79">
        <v>148</v>
      </c>
      <c r="AF26" s="15">
        <v>54.74</v>
      </c>
      <c r="AG26" s="171">
        <v>2.7</v>
      </c>
      <c r="AH26" s="82">
        <v>71</v>
      </c>
      <c r="AI26" s="119">
        <v>45801</v>
      </c>
      <c r="AJ26" s="79">
        <v>199</v>
      </c>
      <c r="AK26" s="84">
        <v>66.760000000000005</v>
      </c>
      <c r="AL26" s="82">
        <v>2.98</v>
      </c>
      <c r="AM26" s="171">
        <v>68</v>
      </c>
      <c r="AN26" s="119">
        <v>45779</v>
      </c>
      <c r="AO26" s="79">
        <v>171</v>
      </c>
      <c r="AP26" s="16">
        <v>59.24</v>
      </c>
      <c r="AQ26" s="82">
        <v>2.89</v>
      </c>
      <c r="AR26" s="82">
        <v>72</v>
      </c>
      <c r="AS26" s="119">
        <v>45801</v>
      </c>
    </row>
    <row r="27" spans="1:45" x14ac:dyDescent="0.3">
      <c r="A27" s="12">
        <v>10</v>
      </c>
      <c r="B27" s="14">
        <v>3.75</v>
      </c>
      <c r="C27" s="171">
        <v>2.67</v>
      </c>
      <c r="D27" s="86">
        <v>38</v>
      </c>
      <c r="E27" s="119">
        <v>45807</v>
      </c>
      <c r="F27" s="12">
        <v>13</v>
      </c>
      <c r="G27" s="79">
        <v>3.33</v>
      </c>
      <c r="H27" s="80">
        <v>3.9</v>
      </c>
      <c r="I27" s="84">
        <v>61</v>
      </c>
      <c r="J27" s="119">
        <v>45807</v>
      </c>
      <c r="K27" s="2">
        <v>15</v>
      </c>
      <c r="L27" s="80">
        <v>4.2</v>
      </c>
      <c r="M27" s="15">
        <v>3.57</v>
      </c>
      <c r="N27" s="86">
        <v>47</v>
      </c>
      <c r="O27" s="119">
        <v>45807</v>
      </c>
      <c r="P27" s="12">
        <v>42</v>
      </c>
      <c r="Q27" s="81">
        <v>16.5</v>
      </c>
      <c r="R27" s="171">
        <v>2.5499999999999998</v>
      </c>
      <c r="S27" s="84">
        <v>58</v>
      </c>
      <c r="T27" s="119">
        <v>45804</v>
      </c>
      <c r="U27" s="12">
        <v>93</v>
      </c>
      <c r="V27" s="88">
        <v>27.82</v>
      </c>
      <c r="W27" s="81">
        <v>3.34</v>
      </c>
      <c r="X27" s="85">
        <v>53</v>
      </c>
      <c r="Y27" s="119">
        <v>45780</v>
      </c>
      <c r="Z27" s="2">
        <v>53</v>
      </c>
      <c r="AA27" s="16">
        <v>17.190000000000001</v>
      </c>
      <c r="AB27" s="16">
        <v>3.08</v>
      </c>
      <c r="AC27" s="171">
        <v>68</v>
      </c>
      <c r="AD27" s="119">
        <v>45805</v>
      </c>
      <c r="AE27" s="12">
        <v>152</v>
      </c>
      <c r="AF27" s="16">
        <v>58.2</v>
      </c>
      <c r="AG27" s="171">
        <v>2.61</v>
      </c>
      <c r="AH27" s="171">
        <v>66</v>
      </c>
      <c r="AI27" s="119">
        <v>45779</v>
      </c>
      <c r="AJ27" s="12">
        <v>233</v>
      </c>
      <c r="AK27" s="87">
        <v>79.45</v>
      </c>
      <c r="AL27" s="82">
        <v>2.93</v>
      </c>
      <c r="AM27" s="84">
        <v>60</v>
      </c>
      <c r="AN27" s="119">
        <v>45779</v>
      </c>
      <c r="AO27" s="2">
        <v>148</v>
      </c>
      <c r="AP27" s="15">
        <v>54.74</v>
      </c>
      <c r="AQ27" s="171">
        <v>2.7</v>
      </c>
      <c r="AR27" s="82">
        <v>71</v>
      </c>
      <c r="AS27" s="119">
        <v>45801</v>
      </c>
    </row>
    <row r="28" spans="1:45" x14ac:dyDescent="0.3">
      <c r="A28" s="12">
        <v>13</v>
      </c>
      <c r="B28" s="80">
        <v>4.0199999999999996</v>
      </c>
      <c r="C28" s="16">
        <v>3.23</v>
      </c>
      <c r="D28" s="86">
        <v>44</v>
      </c>
      <c r="E28" s="119">
        <v>45800</v>
      </c>
      <c r="F28" s="12">
        <v>22</v>
      </c>
      <c r="G28" s="16">
        <v>5.64</v>
      </c>
      <c r="H28" s="80">
        <v>3.9</v>
      </c>
      <c r="I28" s="86">
        <v>42</v>
      </c>
      <c r="J28" s="119">
        <v>45804</v>
      </c>
      <c r="K28" s="2">
        <v>18</v>
      </c>
      <c r="L28" s="15">
        <v>4.68</v>
      </c>
      <c r="M28" s="80">
        <v>3.85</v>
      </c>
      <c r="N28" s="86">
        <v>47</v>
      </c>
      <c r="O28" s="119">
        <v>45805</v>
      </c>
      <c r="P28" s="12">
        <v>53</v>
      </c>
      <c r="Q28" s="16">
        <v>17.190000000000001</v>
      </c>
      <c r="R28" s="16">
        <v>3.08</v>
      </c>
      <c r="S28" s="171">
        <v>68</v>
      </c>
      <c r="T28" s="119">
        <v>45805</v>
      </c>
      <c r="U28" s="12">
        <v>66</v>
      </c>
      <c r="V28" s="84">
        <v>20.149999999999999</v>
      </c>
      <c r="W28" s="81">
        <v>3.28</v>
      </c>
      <c r="X28" s="171">
        <v>65</v>
      </c>
      <c r="Y28" s="119">
        <v>45800</v>
      </c>
      <c r="Z28" s="2">
        <v>66</v>
      </c>
      <c r="AA28" s="84">
        <v>20.149999999999999</v>
      </c>
      <c r="AB28" s="81">
        <v>3.28</v>
      </c>
      <c r="AC28" s="171">
        <v>65</v>
      </c>
      <c r="AD28" s="119">
        <v>45800</v>
      </c>
      <c r="AE28" s="12">
        <v>171</v>
      </c>
      <c r="AF28" s="16">
        <v>59.24</v>
      </c>
      <c r="AG28" s="82">
        <v>2.89</v>
      </c>
      <c r="AH28" s="82">
        <v>72</v>
      </c>
      <c r="AI28" s="119">
        <v>45801</v>
      </c>
      <c r="AJ28" s="12">
        <v>196</v>
      </c>
      <c r="AK28" s="84">
        <v>67</v>
      </c>
      <c r="AL28" s="82">
        <v>2.93</v>
      </c>
      <c r="AM28" s="171">
        <v>67</v>
      </c>
      <c r="AN28" s="119">
        <v>45782</v>
      </c>
      <c r="AO28" s="2">
        <v>178</v>
      </c>
      <c r="AP28" s="82">
        <v>62.07</v>
      </c>
      <c r="AQ28" s="82">
        <v>2.87</v>
      </c>
      <c r="AR28" s="82">
        <v>69</v>
      </c>
      <c r="AS28" s="119">
        <v>45779</v>
      </c>
    </row>
    <row r="29" spans="1:45" x14ac:dyDescent="0.3">
      <c r="A29" s="12">
        <v>13</v>
      </c>
      <c r="B29" s="80">
        <v>4.03</v>
      </c>
      <c r="C29" s="16">
        <v>3.23</v>
      </c>
      <c r="D29" s="86">
        <v>44</v>
      </c>
      <c r="E29" s="119">
        <v>45807</v>
      </c>
      <c r="F29" s="12">
        <v>24</v>
      </c>
      <c r="G29" s="82">
        <v>6.19</v>
      </c>
      <c r="H29" s="80">
        <v>3.88</v>
      </c>
      <c r="I29" s="86">
        <v>39</v>
      </c>
      <c r="J29" s="119">
        <v>45805</v>
      </c>
      <c r="K29" s="2">
        <v>13</v>
      </c>
      <c r="L29" s="80">
        <v>4.0199999999999996</v>
      </c>
      <c r="M29" s="16">
        <v>3.23</v>
      </c>
      <c r="N29" s="86">
        <v>44</v>
      </c>
      <c r="O29" s="119">
        <v>45800</v>
      </c>
      <c r="P29" s="12">
        <v>52</v>
      </c>
      <c r="Q29" s="82">
        <v>18.100000000000001</v>
      </c>
      <c r="R29" s="82">
        <v>2.87</v>
      </c>
      <c r="S29" s="84">
        <v>61</v>
      </c>
      <c r="T29" s="119">
        <v>45805</v>
      </c>
      <c r="U29" s="12">
        <v>92</v>
      </c>
      <c r="V29" s="168">
        <v>28.26</v>
      </c>
      <c r="W29" s="81">
        <v>3.26</v>
      </c>
      <c r="X29" s="85">
        <v>51</v>
      </c>
      <c r="Y29" s="119">
        <v>45805</v>
      </c>
      <c r="Z29" s="2">
        <v>67</v>
      </c>
      <c r="AA29" s="84">
        <v>20.81</v>
      </c>
      <c r="AB29" s="16">
        <v>3.22</v>
      </c>
      <c r="AC29" s="84">
        <v>62</v>
      </c>
      <c r="AD29" s="119">
        <v>45805</v>
      </c>
      <c r="AE29" s="12">
        <v>148</v>
      </c>
      <c r="AF29" s="82">
        <v>61.2</v>
      </c>
      <c r="AG29" s="84">
        <v>2.42</v>
      </c>
      <c r="AH29" s="84">
        <v>59</v>
      </c>
      <c r="AI29" s="119">
        <v>45785</v>
      </c>
      <c r="AJ29" s="12">
        <v>171</v>
      </c>
      <c r="AK29" s="16">
        <v>59.24</v>
      </c>
      <c r="AL29" s="82">
        <v>2.89</v>
      </c>
      <c r="AM29" s="82">
        <v>72</v>
      </c>
      <c r="AN29" s="119">
        <v>45801</v>
      </c>
      <c r="AO29" s="2">
        <v>199</v>
      </c>
      <c r="AP29" s="84">
        <v>66.760000000000005</v>
      </c>
      <c r="AQ29" s="82">
        <v>2.98</v>
      </c>
      <c r="AR29" s="171">
        <v>68</v>
      </c>
      <c r="AS29" s="119">
        <v>45779</v>
      </c>
    </row>
    <row r="30" spans="1:45" x14ac:dyDescent="0.3">
      <c r="A30" s="12">
        <v>12</v>
      </c>
      <c r="B30" s="80">
        <v>4.12</v>
      </c>
      <c r="C30" s="82">
        <v>2.91</v>
      </c>
      <c r="D30" s="86">
        <v>39</v>
      </c>
      <c r="E30" s="119">
        <v>45800</v>
      </c>
      <c r="F30" s="12">
        <v>18</v>
      </c>
      <c r="G30" s="15">
        <v>4.68</v>
      </c>
      <c r="H30" s="80">
        <v>3.85</v>
      </c>
      <c r="I30" s="86">
        <v>47</v>
      </c>
      <c r="J30" s="119">
        <v>45805</v>
      </c>
      <c r="K30" s="2">
        <v>13</v>
      </c>
      <c r="L30" s="80">
        <v>4.03</v>
      </c>
      <c r="M30" s="16">
        <v>3.23</v>
      </c>
      <c r="N30" s="86">
        <v>44</v>
      </c>
      <c r="O30" s="119">
        <v>45807</v>
      </c>
      <c r="P30" s="12">
        <v>49</v>
      </c>
      <c r="Q30" s="82">
        <v>18.579999999999998</v>
      </c>
      <c r="R30" s="171">
        <v>2.64</v>
      </c>
      <c r="S30" s="85">
        <v>55</v>
      </c>
      <c r="T30" s="119">
        <v>45780</v>
      </c>
      <c r="U30" s="12">
        <v>75</v>
      </c>
      <c r="V30" s="86">
        <v>23.26</v>
      </c>
      <c r="W30" s="16">
        <v>3.22</v>
      </c>
      <c r="X30" s="84">
        <v>58</v>
      </c>
      <c r="Y30" s="119">
        <v>45793</v>
      </c>
      <c r="Z30" s="2">
        <v>52</v>
      </c>
      <c r="AA30" s="82">
        <v>18.100000000000001</v>
      </c>
      <c r="AB30" s="82">
        <v>2.87</v>
      </c>
      <c r="AC30" s="84">
        <v>61</v>
      </c>
      <c r="AD30" s="119">
        <v>45805</v>
      </c>
      <c r="AE30" s="12">
        <v>146</v>
      </c>
      <c r="AF30" s="82">
        <v>61.59</v>
      </c>
      <c r="AG30" s="84">
        <v>2.37</v>
      </c>
      <c r="AH30" s="84">
        <v>58</v>
      </c>
      <c r="AI30" s="119">
        <v>45808</v>
      </c>
      <c r="AJ30" s="12">
        <v>178</v>
      </c>
      <c r="AK30" s="82">
        <v>62.07</v>
      </c>
      <c r="AL30" s="82">
        <v>2.87</v>
      </c>
      <c r="AM30" s="82">
        <v>69</v>
      </c>
      <c r="AN30" s="119">
        <v>45779</v>
      </c>
      <c r="AO30" s="2">
        <v>172</v>
      </c>
      <c r="AP30" s="82">
        <v>61.62</v>
      </c>
      <c r="AQ30" s="82">
        <v>2.79</v>
      </c>
      <c r="AR30" s="171">
        <v>68</v>
      </c>
      <c r="AS30" s="119">
        <v>45783</v>
      </c>
    </row>
    <row r="31" spans="1:45" x14ac:dyDescent="0.3">
      <c r="A31" s="12">
        <v>13</v>
      </c>
      <c r="B31" s="80">
        <v>4.1399999999999997</v>
      </c>
      <c r="C31" s="16">
        <v>3.14</v>
      </c>
      <c r="D31" s="86">
        <v>42</v>
      </c>
      <c r="E31" s="119">
        <v>45808</v>
      </c>
      <c r="F31" s="12">
        <v>23</v>
      </c>
      <c r="G31" s="82">
        <v>6.21</v>
      </c>
      <c r="H31" s="15">
        <v>3.7</v>
      </c>
      <c r="I31" s="87">
        <v>37</v>
      </c>
      <c r="J31" s="119">
        <v>45808</v>
      </c>
      <c r="K31" s="2">
        <v>24</v>
      </c>
      <c r="L31" s="16">
        <v>5.91</v>
      </c>
      <c r="M31" s="14">
        <v>4.0599999999999996</v>
      </c>
      <c r="N31" s="86">
        <v>42</v>
      </c>
      <c r="O31" s="119">
        <v>45793</v>
      </c>
      <c r="P31" s="12">
        <v>47</v>
      </c>
      <c r="Q31" s="82">
        <v>18.760000000000002</v>
      </c>
      <c r="R31" s="171">
        <v>2.5099999999999998</v>
      </c>
      <c r="S31" s="85">
        <v>52</v>
      </c>
      <c r="T31" s="119">
        <v>45805</v>
      </c>
      <c r="U31" s="12">
        <v>67</v>
      </c>
      <c r="V31" s="84">
        <v>20.81</v>
      </c>
      <c r="W31" s="16">
        <v>3.22</v>
      </c>
      <c r="X31" s="84">
        <v>62</v>
      </c>
      <c r="Y31" s="119">
        <v>45805</v>
      </c>
      <c r="Z31" s="2">
        <v>58</v>
      </c>
      <c r="AA31" s="171">
        <v>19.34</v>
      </c>
      <c r="AB31" s="16">
        <v>3</v>
      </c>
      <c r="AC31" s="84">
        <v>61</v>
      </c>
      <c r="AD31" s="119">
        <v>45805</v>
      </c>
      <c r="AE31" s="12">
        <v>172</v>
      </c>
      <c r="AF31" s="82">
        <v>61.62</v>
      </c>
      <c r="AG31" s="82">
        <v>2.79</v>
      </c>
      <c r="AH31" s="171">
        <v>68</v>
      </c>
      <c r="AI31" s="119">
        <v>45783</v>
      </c>
      <c r="AJ31" s="12">
        <v>224</v>
      </c>
      <c r="AK31" s="87">
        <v>78.69</v>
      </c>
      <c r="AL31" s="82">
        <v>2.85</v>
      </c>
      <c r="AM31" s="84">
        <v>58</v>
      </c>
      <c r="AN31" s="119">
        <v>45785</v>
      </c>
      <c r="AO31" s="2">
        <v>196</v>
      </c>
      <c r="AP31" s="84">
        <v>67</v>
      </c>
      <c r="AQ31" s="82">
        <v>2.93</v>
      </c>
      <c r="AR31" s="171">
        <v>67</v>
      </c>
      <c r="AS31" s="119">
        <v>45782</v>
      </c>
    </row>
    <row r="32" spans="1:45" x14ac:dyDescent="0.3">
      <c r="A32" s="12">
        <v>12</v>
      </c>
      <c r="B32" s="80">
        <v>4.1500000000000004</v>
      </c>
      <c r="C32" s="82">
        <v>2.89</v>
      </c>
      <c r="D32" s="86">
        <v>38</v>
      </c>
      <c r="E32" s="119">
        <v>45807</v>
      </c>
      <c r="F32" s="12">
        <v>34</v>
      </c>
      <c r="G32" s="87">
        <v>9.31</v>
      </c>
      <c r="H32" s="15">
        <v>3.65</v>
      </c>
      <c r="I32" s="87">
        <v>28</v>
      </c>
      <c r="J32" s="119">
        <v>45793</v>
      </c>
      <c r="K32" s="2">
        <v>22</v>
      </c>
      <c r="L32" s="16">
        <v>5.64</v>
      </c>
      <c r="M32" s="80">
        <v>3.9</v>
      </c>
      <c r="N32" s="86">
        <v>42</v>
      </c>
      <c r="O32" s="119">
        <v>45804</v>
      </c>
      <c r="P32" s="12">
        <v>48</v>
      </c>
      <c r="Q32" s="171">
        <v>19.04</v>
      </c>
      <c r="R32" s="171">
        <v>2.52</v>
      </c>
      <c r="S32" s="85">
        <v>52</v>
      </c>
      <c r="T32" s="119">
        <v>45804</v>
      </c>
      <c r="U32" s="12">
        <v>70</v>
      </c>
      <c r="V32" s="86">
        <v>22.06</v>
      </c>
      <c r="W32" s="16">
        <v>3.17</v>
      </c>
      <c r="X32" s="84">
        <v>59</v>
      </c>
      <c r="Y32" s="119">
        <v>45804</v>
      </c>
      <c r="Z32" s="2">
        <v>65</v>
      </c>
      <c r="AA32" s="84">
        <v>20.88</v>
      </c>
      <c r="AB32" s="16">
        <v>3.11</v>
      </c>
      <c r="AC32" s="84">
        <v>60</v>
      </c>
      <c r="AD32" s="119">
        <v>45800</v>
      </c>
      <c r="AE32" s="12">
        <v>137</v>
      </c>
      <c r="AF32" s="82">
        <v>61.69</v>
      </c>
      <c r="AG32" s="85">
        <v>2.2200000000000002</v>
      </c>
      <c r="AH32" s="85">
        <v>54</v>
      </c>
      <c r="AI32" s="119">
        <v>45794</v>
      </c>
      <c r="AJ32" s="12">
        <v>220</v>
      </c>
      <c r="AK32" s="87">
        <v>78.48</v>
      </c>
      <c r="AL32" s="82">
        <v>2.8</v>
      </c>
      <c r="AM32" s="84">
        <v>58</v>
      </c>
      <c r="AN32" s="119">
        <v>45790</v>
      </c>
      <c r="AO32" s="2">
        <v>152</v>
      </c>
      <c r="AP32" s="16">
        <v>58.2</v>
      </c>
      <c r="AQ32" s="171">
        <v>2.61</v>
      </c>
      <c r="AR32" s="171">
        <v>66</v>
      </c>
      <c r="AS32" s="119">
        <v>45779</v>
      </c>
    </row>
    <row r="33" spans="1:45" x14ac:dyDescent="0.3">
      <c r="A33" s="12">
        <v>15</v>
      </c>
      <c r="B33" s="80">
        <v>4.2</v>
      </c>
      <c r="C33" s="15">
        <v>3.57</v>
      </c>
      <c r="D33" s="86">
        <v>47</v>
      </c>
      <c r="E33" s="119">
        <v>45807</v>
      </c>
      <c r="F33" s="12">
        <v>25</v>
      </c>
      <c r="G33" s="171">
        <v>6.95</v>
      </c>
      <c r="H33" s="15">
        <v>3.6</v>
      </c>
      <c r="I33" s="87">
        <v>33</v>
      </c>
      <c r="J33" s="119">
        <v>45793</v>
      </c>
      <c r="K33" s="2">
        <v>13</v>
      </c>
      <c r="L33" s="80">
        <v>4.1399999999999997</v>
      </c>
      <c r="M33" s="16">
        <v>3.14</v>
      </c>
      <c r="N33" s="86">
        <v>42</v>
      </c>
      <c r="O33" s="119">
        <v>45808</v>
      </c>
      <c r="P33" s="12">
        <v>47</v>
      </c>
      <c r="Q33" s="171">
        <v>19.23</v>
      </c>
      <c r="R33" s="84">
        <v>2.44</v>
      </c>
      <c r="S33" s="85">
        <v>50</v>
      </c>
      <c r="T33" s="119">
        <v>45785</v>
      </c>
      <c r="U33" s="12">
        <v>71</v>
      </c>
      <c r="V33" s="86">
        <v>22.38</v>
      </c>
      <c r="W33" s="16">
        <v>3.17</v>
      </c>
      <c r="X33" s="84">
        <v>58</v>
      </c>
      <c r="Y33" s="119">
        <v>45804</v>
      </c>
      <c r="Z33" s="2">
        <v>56</v>
      </c>
      <c r="AA33" s="171">
        <v>19.3</v>
      </c>
      <c r="AB33" s="82">
        <v>2.9</v>
      </c>
      <c r="AC33" s="84">
        <v>59</v>
      </c>
      <c r="AD33" s="119">
        <v>45805</v>
      </c>
      <c r="AE33" s="12">
        <v>159</v>
      </c>
      <c r="AF33" s="82">
        <v>61.91</v>
      </c>
      <c r="AG33" s="171">
        <v>2.57</v>
      </c>
      <c r="AH33" s="84">
        <v>62</v>
      </c>
      <c r="AI33" s="119">
        <v>45807</v>
      </c>
      <c r="AJ33" s="12">
        <v>172</v>
      </c>
      <c r="AK33" s="82">
        <v>61.62</v>
      </c>
      <c r="AL33" s="82">
        <v>2.79</v>
      </c>
      <c r="AM33" s="171">
        <v>68</v>
      </c>
      <c r="AN33" s="119">
        <v>45783</v>
      </c>
      <c r="AO33" s="2">
        <v>172</v>
      </c>
      <c r="AP33" s="171">
        <v>63.04</v>
      </c>
      <c r="AQ33" s="171">
        <v>2.73</v>
      </c>
      <c r="AR33" s="171">
        <v>65</v>
      </c>
      <c r="AS33" s="119">
        <v>45805</v>
      </c>
    </row>
    <row r="34" spans="1:45" x14ac:dyDescent="0.3">
      <c r="A34" s="79">
        <v>11</v>
      </c>
      <c r="B34" s="79">
        <v>3.17</v>
      </c>
      <c r="C34" s="81">
        <v>3.47</v>
      </c>
      <c r="D34" s="85">
        <v>56</v>
      </c>
      <c r="E34" s="119">
        <v>45810</v>
      </c>
      <c r="F34" s="79">
        <v>18</v>
      </c>
      <c r="G34" s="15">
        <v>4.58</v>
      </c>
      <c r="H34" s="80">
        <v>3.93</v>
      </c>
      <c r="I34" s="86">
        <v>49</v>
      </c>
      <c r="J34" s="119">
        <v>45810</v>
      </c>
      <c r="K34" s="79">
        <v>13</v>
      </c>
      <c r="L34" s="79">
        <v>3.34</v>
      </c>
      <c r="M34" s="80">
        <v>3.89</v>
      </c>
      <c r="N34" s="84">
        <v>60</v>
      </c>
      <c r="O34" s="119">
        <v>45810</v>
      </c>
      <c r="P34" s="79">
        <v>56</v>
      </c>
      <c r="Q34" s="16">
        <v>17.850000000000001</v>
      </c>
      <c r="R34" s="16">
        <v>3.14</v>
      </c>
      <c r="S34" s="171">
        <v>68</v>
      </c>
      <c r="T34" s="119">
        <v>45809</v>
      </c>
      <c r="U34" s="79">
        <v>80</v>
      </c>
      <c r="V34" s="86">
        <v>23.28</v>
      </c>
      <c r="W34" s="81">
        <v>3.44</v>
      </c>
      <c r="X34" s="84">
        <v>61</v>
      </c>
      <c r="Y34" s="119">
        <v>45810</v>
      </c>
      <c r="Z34" s="79">
        <v>60</v>
      </c>
      <c r="AA34" s="82">
        <v>18.440000000000001</v>
      </c>
      <c r="AB34" s="81">
        <v>3.25</v>
      </c>
      <c r="AC34" s="82">
        <v>69</v>
      </c>
      <c r="AD34" s="119">
        <v>45810</v>
      </c>
      <c r="AE34" s="79">
        <v>158</v>
      </c>
      <c r="AF34" s="16">
        <v>59.51</v>
      </c>
      <c r="AG34" s="171">
        <v>2.66</v>
      </c>
      <c r="AH34" s="171">
        <v>66</v>
      </c>
      <c r="AI34" s="119">
        <v>45809</v>
      </c>
      <c r="AJ34" s="79">
        <v>183</v>
      </c>
      <c r="AK34" s="84">
        <v>67.430000000000007</v>
      </c>
      <c r="AL34" s="171">
        <v>2.71</v>
      </c>
      <c r="AM34" s="84">
        <v>62</v>
      </c>
      <c r="AN34" s="119">
        <v>45809</v>
      </c>
      <c r="AO34" s="79">
        <v>158</v>
      </c>
      <c r="AP34" s="16">
        <v>59.51</v>
      </c>
      <c r="AQ34" s="171">
        <v>2.66</v>
      </c>
      <c r="AR34" s="171">
        <v>66</v>
      </c>
      <c r="AS34" s="119">
        <v>45809</v>
      </c>
    </row>
    <row r="35" spans="1:45" x14ac:dyDescent="0.3">
      <c r="A35" s="12">
        <v>13</v>
      </c>
      <c r="B35" s="79">
        <v>3.34</v>
      </c>
      <c r="C35" s="80">
        <v>3.89</v>
      </c>
      <c r="D35" s="84">
        <v>60</v>
      </c>
      <c r="E35" s="119">
        <v>45810</v>
      </c>
      <c r="F35" s="12">
        <v>21</v>
      </c>
      <c r="G35" s="81">
        <v>5.35</v>
      </c>
      <c r="H35" s="80">
        <v>3.93</v>
      </c>
      <c r="I35" s="86">
        <v>44</v>
      </c>
      <c r="J35" s="119">
        <v>45810</v>
      </c>
      <c r="K35" s="2">
        <v>11</v>
      </c>
      <c r="L35" s="79">
        <v>3.17</v>
      </c>
      <c r="M35" s="81">
        <v>3.47</v>
      </c>
      <c r="N35" s="85">
        <v>56</v>
      </c>
      <c r="O35" s="119">
        <v>45810</v>
      </c>
      <c r="P35" s="12">
        <v>43</v>
      </c>
      <c r="Q35" s="82">
        <v>18.2</v>
      </c>
      <c r="R35" s="84">
        <v>2.36</v>
      </c>
      <c r="S35" s="85">
        <v>50</v>
      </c>
      <c r="T35" s="119">
        <v>45810</v>
      </c>
      <c r="U35" s="12">
        <v>60</v>
      </c>
      <c r="V35" s="82">
        <v>18.440000000000001</v>
      </c>
      <c r="W35" s="81">
        <v>3.25</v>
      </c>
      <c r="X35" s="82">
        <v>69</v>
      </c>
      <c r="Y35" s="119">
        <v>45810</v>
      </c>
      <c r="Z35" s="2">
        <v>56</v>
      </c>
      <c r="AA35" s="16">
        <v>17.850000000000001</v>
      </c>
      <c r="AB35" s="16">
        <v>3.14</v>
      </c>
      <c r="AC35" s="171">
        <v>68</v>
      </c>
      <c r="AD35" s="119">
        <v>45809</v>
      </c>
      <c r="AE35" s="12">
        <v>166</v>
      </c>
      <c r="AF35" s="82">
        <v>61.71</v>
      </c>
      <c r="AG35" s="171">
        <v>2.69</v>
      </c>
      <c r="AH35" s="171">
        <v>65</v>
      </c>
      <c r="AI35" s="119">
        <v>45809</v>
      </c>
      <c r="AJ35" s="12">
        <v>207</v>
      </c>
      <c r="AK35" s="87">
        <v>76.7</v>
      </c>
      <c r="AL35" s="171">
        <v>2.7</v>
      </c>
      <c r="AM35" s="85">
        <v>56</v>
      </c>
      <c r="AN35" s="119">
        <v>45810</v>
      </c>
      <c r="AO35" s="2">
        <v>166</v>
      </c>
      <c r="AP35" s="82">
        <v>61.71</v>
      </c>
      <c r="AQ35" s="171">
        <v>2.69</v>
      </c>
      <c r="AR35" s="171">
        <v>65</v>
      </c>
      <c r="AS35" s="119">
        <v>45809</v>
      </c>
    </row>
    <row r="36" spans="1:45" x14ac:dyDescent="0.3">
      <c r="A36" s="12">
        <v>12</v>
      </c>
      <c r="B36" s="14">
        <v>3.54</v>
      </c>
      <c r="C36" s="81">
        <v>3.39</v>
      </c>
      <c r="D36" s="85">
        <v>50</v>
      </c>
      <c r="E36" s="119">
        <v>45810</v>
      </c>
      <c r="F36" s="12">
        <v>13</v>
      </c>
      <c r="G36" s="79">
        <v>3.34</v>
      </c>
      <c r="H36" s="80">
        <v>3.89</v>
      </c>
      <c r="I36" s="84">
        <v>60</v>
      </c>
      <c r="J36" s="119">
        <v>45810</v>
      </c>
      <c r="K36" s="2">
        <v>12</v>
      </c>
      <c r="L36" s="14">
        <v>3.54</v>
      </c>
      <c r="M36" s="81">
        <v>3.39</v>
      </c>
      <c r="N36" s="85">
        <v>50</v>
      </c>
      <c r="O36" s="119">
        <v>45810</v>
      </c>
      <c r="P36" s="12">
        <v>60</v>
      </c>
      <c r="Q36" s="82">
        <v>18.440000000000001</v>
      </c>
      <c r="R36" s="81">
        <v>3.25</v>
      </c>
      <c r="S36" s="82">
        <v>69</v>
      </c>
      <c r="T36" s="119">
        <v>45810</v>
      </c>
      <c r="U36" s="12">
        <v>56</v>
      </c>
      <c r="V36" s="16">
        <v>17.850000000000001</v>
      </c>
      <c r="W36" s="16">
        <v>3.14</v>
      </c>
      <c r="X36" s="171">
        <v>68</v>
      </c>
      <c r="Y36" s="119">
        <v>45809</v>
      </c>
      <c r="Z36" s="2">
        <v>80</v>
      </c>
      <c r="AA36" s="86">
        <v>23.28</v>
      </c>
      <c r="AB36" s="81">
        <v>3.44</v>
      </c>
      <c r="AC36" s="84">
        <v>61</v>
      </c>
      <c r="AD36" s="119">
        <v>45810</v>
      </c>
      <c r="AE36" s="12">
        <v>149</v>
      </c>
      <c r="AF36" s="171">
        <v>64.17</v>
      </c>
      <c r="AG36" s="84">
        <v>2.3199999999999998</v>
      </c>
      <c r="AH36" s="85">
        <v>55</v>
      </c>
      <c r="AI36" s="119">
        <v>45809</v>
      </c>
      <c r="AJ36" s="12">
        <v>166</v>
      </c>
      <c r="AK36" s="82">
        <v>61.71</v>
      </c>
      <c r="AL36" s="171">
        <v>2.69</v>
      </c>
      <c r="AM36" s="171">
        <v>65</v>
      </c>
      <c r="AN36" s="119">
        <v>45809</v>
      </c>
      <c r="AO36" s="2">
        <v>174</v>
      </c>
      <c r="AP36" s="171">
        <v>64.89</v>
      </c>
      <c r="AQ36" s="171">
        <v>2.68</v>
      </c>
      <c r="AR36" s="171">
        <v>63</v>
      </c>
      <c r="AS36" s="119">
        <v>45809</v>
      </c>
    </row>
    <row r="37" spans="1:45" x14ac:dyDescent="0.3">
      <c r="A37" s="12">
        <v>10</v>
      </c>
      <c r="B37" s="80">
        <v>4.07</v>
      </c>
      <c r="C37" s="84">
        <v>2.46</v>
      </c>
      <c r="D37" s="87">
        <v>33</v>
      </c>
      <c r="E37" s="119">
        <v>45810</v>
      </c>
      <c r="F37" s="12">
        <v>17</v>
      </c>
      <c r="G37" s="15">
        <v>4.58</v>
      </c>
      <c r="H37" s="15">
        <v>3.71</v>
      </c>
      <c r="I37" s="86">
        <v>46</v>
      </c>
      <c r="J37" s="119">
        <v>45810</v>
      </c>
      <c r="K37" s="2">
        <v>18</v>
      </c>
      <c r="L37" s="15">
        <v>4.58</v>
      </c>
      <c r="M37" s="80">
        <v>3.93</v>
      </c>
      <c r="N37" s="86">
        <v>49</v>
      </c>
      <c r="O37" s="119">
        <v>45810</v>
      </c>
      <c r="P37" s="12">
        <v>54</v>
      </c>
      <c r="Q37" s="84">
        <v>20.27</v>
      </c>
      <c r="R37" s="171">
        <v>2.66</v>
      </c>
      <c r="S37" s="85">
        <v>53</v>
      </c>
      <c r="T37" s="119">
        <v>45810</v>
      </c>
      <c r="U37" s="12">
        <v>85</v>
      </c>
      <c r="V37" s="88">
        <v>27.36</v>
      </c>
      <c r="W37" s="16">
        <v>3.11</v>
      </c>
      <c r="X37" s="85">
        <v>50</v>
      </c>
      <c r="Y37" s="119">
        <v>45810</v>
      </c>
      <c r="Z37" s="2">
        <v>54</v>
      </c>
      <c r="AA37" s="84">
        <v>20.27</v>
      </c>
      <c r="AB37" s="171">
        <v>2.66</v>
      </c>
      <c r="AC37" s="85">
        <v>53</v>
      </c>
      <c r="AD37" s="119">
        <v>45810</v>
      </c>
      <c r="AE37" s="12">
        <v>168</v>
      </c>
      <c r="AF37" s="171">
        <v>64.17</v>
      </c>
      <c r="AG37" s="171">
        <v>2.62</v>
      </c>
      <c r="AH37" s="84">
        <v>62</v>
      </c>
      <c r="AI37" s="119">
        <v>45809</v>
      </c>
      <c r="AJ37" s="12">
        <v>174</v>
      </c>
      <c r="AK37" s="171">
        <v>64.89</v>
      </c>
      <c r="AL37" s="171">
        <v>2.68</v>
      </c>
      <c r="AM37" s="171">
        <v>63</v>
      </c>
      <c r="AN37" s="119">
        <v>45809</v>
      </c>
      <c r="AO37" s="2">
        <v>183</v>
      </c>
      <c r="AP37" s="84">
        <v>67.430000000000007</v>
      </c>
      <c r="AQ37" s="171">
        <v>2.71</v>
      </c>
      <c r="AR37" s="84">
        <v>62</v>
      </c>
      <c r="AS37" s="119">
        <v>45809</v>
      </c>
    </row>
    <row r="38" spans="1:45" x14ac:dyDescent="0.3">
      <c r="A38" s="12">
        <v>11</v>
      </c>
      <c r="B38" s="80">
        <v>4.09</v>
      </c>
      <c r="C38" s="171">
        <v>2.69</v>
      </c>
      <c r="D38" s="87">
        <v>36</v>
      </c>
      <c r="E38" s="119">
        <v>45810</v>
      </c>
      <c r="F38" s="12">
        <v>23</v>
      </c>
      <c r="G38" s="82">
        <v>6.31</v>
      </c>
      <c r="H38" s="15">
        <v>3.65</v>
      </c>
      <c r="I38" s="87">
        <v>36</v>
      </c>
      <c r="J38" s="119">
        <v>45810</v>
      </c>
      <c r="K38" s="2">
        <v>15</v>
      </c>
      <c r="L38" s="80">
        <v>4.16</v>
      </c>
      <c r="M38" s="15">
        <v>3.61</v>
      </c>
      <c r="N38" s="86">
        <v>48</v>
      </c>
      <c r="O38" s="119">
        <v>45810</v>
      </c>
      <c r="P38" s="12">
        <v>56</v>
      </c>
      <c r="Q38" s="85">
        <v>21.2</v>
      </c>
      <c r="R38" s="171">
        <v>2.64</v>
      </c>
      <c r="S38" s="85">
        <v>50</v>
      </c>
      <c r="T38" s="119">
        <v>45810</v>
      </c>
      <c r="U38" s="12">
        <v>84</v>
      </c>
      <c r="V38" s="88">
        <v>27.64</v>
      </c>
      <c r="W38" s="16">
        <v>3.04</v>
      </c>
      <c r="X38" s="86">
        <v>48</v>
      </c>
      <c r="Y38" s="119">
        <v>45810</v>
      </c>
      <c r="Z38" s="2">
        <v>66</v>
      </c>
      <c r="AA38" s="86">
        <v>22.95</v>
      </c>
      <c r="AB38" s="82">
        <v>2.88</v>
      </c>
      <c r="AC38" s="85">
        <v>52</v>
      </c>
      <c r="AD38" s="119">
        <v>45810</v>
      </c>
      <c r="AE38" s="12">
        <v>174</v>
      </c>
      <c r="AF38" s="171">
        <v>64.89</v>
      </c>
      <c r="AG38" s="171">
        <v>2.68</v>
      </c>
      <c r="AH38" s="171">
        <v>63</v>
      </c>
      <c r="AI38" s="119">
        <v>45809</v>
      </c>
      <c r="AJ38" s="12">
        <v>158</v>
      </c>
      <c r="AK38" s="16">
        <v>59.51</v>
      </c>
      <c r="AL38" s="171">
        <v>2.66</v>
      </c>
      <c r="AM38" s="171">
        <v>66</v>
      </c>
      <c r="AN38" s="119">
        <v>45809</v>
      </c>
      <c r="AO38" s="2">
        <v>168</v>
      </c>
      <c r="AP38" s="171">
        <v>64.17</v>
      </c>
      <c r="AQ38" s="171">
        <v>2.62</v>
      </c>
      <c r="AR38" s="84">
        <v>62</v>
      </c>
      <c r="AS38" s="119">
        <v>45809</v>
      </c>
    </row>
    <row r="39" spans="1:45" x14ac:dyDescent="0.3">
      <c r="A39" s="12">
        <v>12</v>
      </c>
      <c r="B39" s="80">
        <v>4.1100000000000003</v>
      </c>
      <c r="C39" s="82">
        <v>2.92</v>
      </c>
      <c r="D39" s="86">
        <v>39</v>
      </c>
      <c r="E39" s="119">
        <v>45810</v>
      </c>
      <c r="F39" s="12">
        <v>15</v>
      </c>
      <c r="G39" s="80">
        <v>4.16</v>
      </c>
      <c r="H39" s="15">
        <v>3.61</v>
      </c>
      <c r="I39" s="86">
        <v>48</v>
      </c>
      <c r="J39" s="119">
        <v>45810</v>
      </c>
      <c r="K39" s="2">
        <v>17</v>
      </c>
      <c r="L39" s="15">
        <v>4.58</v>
      </c>
      <c r="M39" s="15">
        <v>3.71</v>
      </c>
      <c r="N39" s="86">
        <v>46</v>
      </c>
      <c r="O39" s="119">
        <v>45810</v>
      </c>
      <c r="P39" s="12">
        <v>58</v>
      </c>
      <c r="Q39" s="85">
        <v>21.59</v>
      </c>
      <c r="R39" s="171">
        <v>2.69</v>
      </c>
      <c r="S39" s="85">
        <v>51</v>
      </c>
      <c r="T39" s="119">
        <v>45810</v>
      </c>
      <c r="U39" s="12">
        <v>98</v>
      </c>
      <c r="V39" s="82">
        <v>33.1</v>
      </c>
      <c r="W39" s="82">
        <v>2.96</v>
      </c>
      <c r="X39" s="86">
        <v>41</v>
      </c>
      <c r="Y39" s="119">
        <v>45810</v>
      </c>
      <c r="Z39" s="2">
        <v>64</v>
      </c>
      <c r="AA39" s="86">
        <v>22.83</v>
      </c>
      <c r="AB39" s="82">
        <v>2.8</v>
      </c>
      <c r="AC39" s="85">
        <v>51</v>
      </c>
      <c r="AD39" s="119">
        <v>45810</v>
      </c>
      <c r="AE39" s="12">
        <v>159</v>
      </c>
      <c r="AF39" s="84">
        <v>65.09</v>
      </c>
      <c r="AG39" s="84">
        <v>2.44</v>
      </c>
      <c r="AH39" s="84">
        <v>57</v>
      </c>
      <c r="AI39" s="119">
        <v>45809</v>
      </c>
      <c r="AJ39" s="12">
        <v>168</v>
      </c>
      <c r="AK39" s="171">
        <v>64.17</v>
      </c>
      <c r="AL39" s="171">
        <v>2.62</v>
      </c>
      <c r="AM39" s="84">
        <v>62</v>
      </c>
      <c r="AN39" s="119">
        <v>45809</v>
      </c>
      <c r="AO39" s="2">
        <v>159</v>
      </c>
      <c r="AP39" s="84">
        <v>65.09</v>
      </c>
      <c r="AQ39" s="84">
        <v>2.44</v>
      </c>
      <c r="AR39" s="84">
        <v>57</v>
      </c>
      <c r="AS39" s="119">
        <v>45809</v>
      </c>
    </row>
    <row r="40" spans="1:45" x14ac:dyDescent="0.3">
      <c r="A40" s="12">
        <v>12</v>
      </c>
      <c r="B40" s="80">
        <v>4.1399999999999997</v>
      </c>
      <c r="C40" s="82">
        <v>2.9</v>
      </c>
      <c r="D40" s="86">
        <v>39</v>
      </c>
      <c r="E40" s="119">
        <v>45810</v>
      </c>
      <c r="F40" s="12">
        <v>30</v>
      </c>
      <c r="G40" s="86">
        <v>8.33</v>
      </c>
      <c r="H40" s="15">
        <v>3.6</v>
      </c>
      <c r="I40" s="87">
        <v>29</v>
      </c>
      <c r="J40" s="119">
        <v>45810</v>
      </c>
      <c r="K40" s="2">
        <v>21</v>
      </c>
      <c r="L40" s="81">
        <v>5.35</v>
      </c>
      <c r="M40" s="80">
        <v>3.93</v>
      </c>
      <c r="N40" s="86">
        <v>44</v>
      </c>
      <c r="O40" s="119">
        <v>45810</v>
      </c>
      <c r="P40" s="12">
        <v>62</v>
      </c>
      <c r="Q40" s="86">
        <v>22.75</v>
      </c>
      <c r="R40" s="171">
        <v>2.73</v>
      </c>
      <c r="S40" s="85">
        <v>50</v>
      </c>
      <c r="T40" s="119">
        <v>45810</v>
      </c>
      <c r="U40" s="12">
        <v>66</v>
      </c>
      <c r="V40" s="86">
        <v>22.95</v>
      </c>
      <c r="W40" s="82">
        <v>2.88</v>
      </c>
      <c r="X40" s="85">
        <v>52</v>
      </c>
      <c r="Y40" s="119">
        <v>45810</v>
      </c>
      <c r="Z40" s="2">
        <v>58</v>
      </c>
      <c r="AA40" s="85">
        <v>21.59</v>
      </c>
      <c r="AB40" s="171">
        <v>2.69</v>
      </c>
      <c r="AC40" s="85">
        <v>51</v>
      </c>
      <c r="AD40" s="119">
        <v>45810</v>
      </c>
      <c r="AE40" s="12">
        <v>159</v>
      </c>
      <c r="AF40" s="84">
        <v>65.92</v>
      </c>
      <c r="AG40" s="84">
        <v>2.41</v>
      </c>
      <c r="AH40" s="85">
        <v>56</v>
      </c>
      <c r="AI40" s="119">
        <v>45809</v>
      </c>
      <c r="AJ40" s="12">
        <v>196</v>
      </c>
      <c r="AK40" s="87">
        <v>75.37</v>
      </c>
      <c r="AL40" s="171">
        <v>2.6</v>
      </c>
      <c r="AM40" s="85">
        <v>55</v>
      </c>
      <c r="AN40" s="119">
        <v>45810</v>
      </c>
      <c r="AO40" s="2">
        <v>207</v>
      </c>
      <c r="AP40" s="87">
        <v>76.7</v>
      </c>
      <c r="AQ40" s="171">
        <v>2.7</v>
      </c>
      <c r="AR40" s="85">
        <v>56</v>
      </c>
      <c r="AS40" s="119">
        <v>45810</v>
      </c>
    </row>
    <row r="41" spans="1:45" x14ac:dyDescent="0.3">
      <c r="A41" s="12">
        <v>15</v>
      </c>
      <c r="B41" s="80">
        <v>4.16</v>
      </c>
      <c r="C41" s="15">
        <v>3.61</v>
      </c>
      <c r="D41" s="86">
        <v>48</v>
      </c>
      <c r="E41" s="119">
        <v>45810</v>
      </c>
      <c r="F41" s="12">
        <v>34</v>
      </c>
      <c r="G41" s="87">
        <v>9.5399999999999991</v>
      </c>
      <c r="H41" s="15">
        <v>3.56</v>
      </c>
      <c r="I41" s="87">
        <v>26</v>
      </c>
      <c r="J41" s="119">
        <v>45810</v>
      </c>
      <c r="K41" s="2">
        <v>12</v>
      </c>
      <c r="L41" s="80">
        <v>4.1100000000000003</v>
      </c>
      <c r="M41" s="82">
        <v>2.92</v>
      </c>
      <c r="N41" s="86">
        <v>39</v>
      </c>
      <c r="O41" s="119">
        <v>45810</v>
      </c>
      <c r="P41" s="12">
        <v>64</v>
      </c>
      <c r="Q41" s="86">
        <v>22.83</v>
      </c>
      <c r="R41" s="82">
        <v>2.8</v>
      </c>
      <c r="S41" s="85">
        <v>51</v>
      </c>
      <c r="T41" s="119">
        <v>45810</v>
      </c>
      <c r="U41" s="12">
        <v>64</v>
      </c>
      <c r="V41" s="86">
        <v>22.83</v>
      </c>
      <c r="W41" s="82">
        <v>2.8</v>
      </c>
      <c r="X41" s="85">
        <v>51</v>
      </c>
      <c r="Y41" s="119">
        <v>45810</v>
      </c>
      <c r="Z41" s="2">
        <v>56</v>
      </c>
      <c r="AA41" s="85">
        <v>21.2</v>
      </c>
      <c r="AB41" s="171">
        <v>2.64</v>
      </c>
      <c r="AC41" s="85">
        <v>50</v>
      </c>
      <c r="AD41" s="119">
        <v>45810</v>
      </c>
      <c r="AE41" s="12">
        <v>183</v>
      </c>
      <c r="AF41" s="84">
        <v>67.430000000000007</v>
      </c>
      <c r="AG41" s="171">
        <v>2.71</v>
      </c>
      <c r="AH41" s="84">
        <v>62</v>
      </c>
      <c r="AI41" s="119">
        <v>45809</v>
      </c>
      <c r="AJ41" s="12">
        <v>181</v>
      </c>
      <c r="AK41" s="86">
        <v>71.8</v>
      </c>
      <c r="AL41" s="171">
        <v>2.52</v>
      </c>
      <c r="AM41" s="85">
        <v>55</v>
      </c>
      <c r="AN41" s="119">
        <v>45809</v>
      </c>
      <c r="AO41" s="2">
        <v>159</v>
      </c>
      <c r="AP41" s="84">
        <v>65.92</v>
      </c>
      <c r="AQ41" s="84">
        <v>2.41</v>
      </c>
      <c r="AR41" s="85">
        <v>56</v>
      </c>
      <c r="AS41" s="119">
        <v>45809</v>
      </c>
    </row>
  </sheetData>
  <phoneticPr fontId="1" type="noConversion"/>
  <conditionalFormatting sqref="E1:E1048576 J1:J1048576 O1:O1048576 T1:T1048576 Y1:Y1048576 AD1:AD1048576 AI1:AI1048576 AN1:AN1048576 AS1:AS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AD127"/>
  <sheetViews>
    <sheetView workbookViewId="0">
      <pane xSplit="2" ySplit="1" topLeftCell="C14" activePane="bottomRight" state="frozen"/>
      <selection pane="topRight" activeCell="F1" sqref="F1"/>
      <selection pane="bottomLeft" activeCell="A2" sqref="A2"/>
      <selection pane="bottomRight" activeCell="N21" sqref="N21"/>
    </sheetView>
  </sheetViews>
  <sheetFormatPr defaultColWidth="9" defaultRowHeight="12.9" x14ac:dyDescent="0.3"/>
  <cols>
    <col min="1" max="1" width="9.84375" style="12" bestFit="1" customWidth="1"/>
    <col min="2" max="2" width="3.84375" style="12" bestFit="1" customWidth="1"/>
    <col min="3" max="4" width="4.765625" style="35" bestFit="1" customWidth="1"/>
    <col min="5" max="5" width="5.69140625" style="35" bestFit="1" customWidth="1"/>
    <col min="6" max="6" width="4.3046875" style="35" bestFit="1" customWidth="1"/>
    <col min="7" max="8" width="4.765625" style="12" bestFit="1" customWidth="1"/>
    <col min="9" max="9" width="5.69140625" style="12" bestFit="1" customWidth="1"/>
    <col min="10" max="10" width="4.3046875" style="12" bestFit="1" customWidth="1"/>
    <col min="11" max="11" width="4.765625" style="12" bestFit="1" customWidth="1"/>
    <col min="12" max="12" width="4.3046875" style="12" bestFit="1" customWidth="1"/>
    <col min="13" max="13" width="2.3046875" style="12" bestFit="1" customWidth="1"/>
    <col min="14" max="14" width="4.3046875" style="12" bestFit="1" customWidth="1"/>
    <col min="15" max="15" width="4.765625" style="12" bestFit="1" customWidth="1"/>
    <col min="16" max="16" width="4.3046875" style="12" bestFit="1" customWidth="1"/>
    <col min="17" max="17" width="2.3046875" style="12" bestFit="1" customWidth="1"/>
    <col min="18" max="18" width="4.3046875" style="12" bestFit="1" customWidth="1"/>
    <col min="19" max="19" width="4.765625" style="12" bestFit="1" customWidth="1"/>
    <col min="20" max="20" width="4.3046875" style="12" bestFit="1" customWidth="1"/>
    <col min="21" max="21" width="2.3046875" style="12" bestFit="1" customWidth="1"/>
    <col min="22" max="22" width="4.3046875" style="12" bestFit="1" customWidth="1"/>
    <col min="23" max="23" width="4.765625" style="12" bestFit="1" customWidth="1"/>
    <col min="24" max="24" width="4.3046875" style="12" bestFit="1" customWidth="1"/>
    <col min="25" max="25" width="2.3046875" style="12" bestFit="1" customWidth="1"/>
    <col min="26" max="26" width="4.3046875" style="12" bestFit="1" customWidth="1"/>
    <col min="27" max="27" width="4.765625" style="12" bestFit="1" customWidth="1"/>
    <col min="28" max="28" width="4.3046875" style="12" bestFit="1" customWidth="1"/>
    <col min="29" max="29" width="2.3046875" style="12" bestFit="1" customWidth="1"/>
    <col min="30" max="30" width="4.3046875" style="12" bestFit="1" customWidth="1"/>
    <col min="31" max="16384" width="9" style="6"/>
  </cols>
  <sheetData>
    <row r="1" spans="1:30" x14ac:dyDescent="0.3">
      <c r="A1" s="35" t="s">
        <v>650</v>
      </c>
      <c r="B1" s="35" t="s">
        <v>651</v>
      </c>
      <c r="C1" s="35" t="s">
        <v>652</v>
      </c>
      <c r="D1" s="35" t="s">
        <v>653</v>
      </c>
      <c r="E1" s="35" t="s">
        <v>145</v>
      </c>
      <c r="F1" s="35" t="s">
        <v>654</v>
      </c>
      <c r="G1" s="302" t="s">
        <v>656</v>
      </c>
      <c r="H1" s="12" t="s">
        <v>653</v>
      </c>
      <c r="I1" s="12" t="s">
        <v>145</v>
      </c>
      <c r="J1" s="12" t="s">
        <v>654</v>
      </c>
      <c r="K1" s="302" t="s">
        <v>658</v>
      </c>
      <c r="L1" s="12" t="s">
        <v>653</v>
      </c>
      <c r="M1" s="12" t="s">
        <v>145</v>
      </c>
      <c r="N1" s="12" t="s">
        <v>654</v>
      </c>
      <c r="O1" s="302" t="s">
        <v>660</v>
      </c>
      <c r="P1" s="12" t="s">
        <v>653</v>
      </c>
      <c r="Q1" s="12" t="s">
        <v>145</v>
      </c>
      <c r="R1" s="12" t="s">
        <v>654</v>
      </c>
      <c r="S1" s="302" t="s">
        <v>662</v>
      </c>
      <c r="T1" s="12" t="s">
        <v>653</v>
      </c>
      <c r="U1" s="12" t="s">
        <v>145</v>
      </c>
      <c r="V1" s="12" t="s">
        <v>654</v>
      </c>
      <c r="W1" s="302" t="s">
        <v>664</v>
      </c>
      <c r="X1" s="12" t="s">
        <v>653</v>
      </c>
      <c r="Y1" s="12" t="s">
        <v>145</v>
      </c>
      <c r="Z1" s="12" t="s">
        <v>654</v>
      </c>
      <c r="AA1" s="302" t="s">
        <v>666</v>
      </c>
      <c r="AB1" s="12" t="s">
        <v>653</v>
      </c>
      <c r="AC1" s="12" t="s">
        <v>145</v>
      </c>
      <c r="AD1" s="12" t="s">
        <v>654</v>
      </c>
    </row>
    <row r="2" spans="1:30" x14ac:dyDescent="0.3">
      <c r="A2" s="12" t="s">
        <v>667</v>
      </c>
      <c r="B2" s="12">
        <v>3.4000000000000004</v>
      </c>
      <c r="C2" s="298">
        <v>5</v>
      </c>
      <c r="D2" s="298">
        <v>1524</v>
      </c>
      <c r="E2" s="298">
        <v>0.33</v>
      </c>
      <c r="F2" s="298" t="s">
        <v>668</v>
      </c>
      <c r="G2" s="298">
        <v>5</v>
      </c>
      <c r="H2" s="298">
        <v>1524</v>
      </c>
      <c r="I2" s="298">
        <v>0.33</v>
      </c>
      <c r="J2" s="298" t="s">
        <v>668</v>
      </c>
    </row>
    <row r="3" spans="1:30" x14ac:dyDescent="0.3">
      <c r="B3" s="12">
        <v>3.6</v>
      </c>
      <c r="C3" s="299">
        <v>15</v>
      </c>
      <c r="D3" s="299">
        <v>1524</v>
      </c>
      <c r="E3" s="299">
        <v>0.98</v>
      </c>
      <c r="F3" s="299" t="s">
        <v>669</v>
      </c>
      <c r="G3" s="299">
        <v>15</v>
      </c>
      <c r="H3" s="299">
        <v>1524</v>
      </c>
      <c r="I3" s="299">
        <v>0.98</v>
      </c>
      <c r="J3" s="299" t="s">
        <v>669</v>
      </c>
    </row>
    <row r="4" spans="1:30" x14ac:dyDescent="0.3">
      <c r="B4" s="12">
        <v>3.8000000000000003</v>
      </c>
      <c r="C4" s="300">
        <v>32</v>
      </c>
      <c r="D4" s="300">
        <v>1524</v>
      </c>
      <c r="E4" s="300">
        <v>2.1</v>
      </c>
      <c r="F4" s="300" t="s">
        <v>670</v>
      </c>
      <c r="G4" s="300">
        <v>32</v>
      </c>
      <c r="H4" s="300">
        <v>1524</v>
      </c>
      <c r="I4" s="300">
        <v>2.1</v>
      </c>
      <c r="J4" s="300" t="s">
        <v>670</v>
      </c>
    </row>
    <row r="5" spans="1:30" x14ac:dyDescent="0.3">
      <c r="B5" s="12">
        <v>4</v>
      </c>
      <c r="C5" s="75">
        <v>48</v>
      </c>
      <c r="D5" s="75">
        <v>1524</v>
      </c>
      <c r="E5" s="75">
        <v>3.15</v>
      </c>
      <c r="F5" s="75" t="s">
        <v>671</v>
      </c>
      <c r="G5" s="75">
        <v>48</v>
      </c>
      <c r="H5" s="75">
        <v>1524</v>
      </c>
      <c r="I5" s="75">
        <v>3.15</v>
      </c>
      <c r="J5" s="75" t="s">
        <v>671</v>
      </c>
    </row>
    <row r="6" spans="1:30" x14ac:dyDescent="0.3">
      <c r="B6" s="12">
        <v>4.2</v>
      </c>
      <c r="C6" s="75">
        <v>90</v>
      </c>
      <c r="D6" s="75">
        <v>1524</v>
      </c>
      <c r="E6" s="75">
        <v>5.91</v>
      </c>
      <c r="F6" s="75" t="s">
        <v>671</v>
      </c>
      <c r="G6" s="75">
        <v>90</v>
      </c>
      <c r="H6" s="75">
        <v>1524</v>
      </c>
      <c r="I6" s="75">
        <v>5.91</v>
      </c>
      <c r="J6" s="75" t="s">
        <v>671</v>
      </c>
    </row>
    <row r="7" spans="1:30" x14ac:dyDescent="0.3">
      <c r="B7" s="12">
        <v>4.4000000000000004</v>
      </c>
      <c r="C7" s="18">
        <v>123</v>
      </c>
      <c r="D7" s="18">
        <v>1524</v>
      </c>
      <c r="E7" s="18">
        <v>8.07</v>
      </c>
      <c r="F7" s="18" t="s">
        <v>672</v>
      </c>
      <c r="G7" s="18">
        <v>123</v>
      </c>
      <c r="H7" s="18">
        <v>1524</v>
      </c>
      <c r="I7" s="18">
        <v>8.07</v>
      </c>
      <c r="J7" s="18" t="s">
        <v>672</v>
      </c>
    </row>
    <row r="8" spans="1:30" x14ac:dyDescent="0.3">
      <c r="B8" s="12">
        <v>4.6000000000000005</v>
      </c>
      <c r="C8" s="18">
        <v>164</v>
      </c>
      <c r="D8" s="18">
        <v>1524</v>
      </c>
      <c r="E8" s="18">
        <v>10.76</v>
      </c>
      <c r="F8" s="18" t="s">
        <v>672</v>
      </c>
      <c r="G8" s="18">
        <v>164</v>
      </c>
      <c r="H8" s="18">
        <v>1524</v>
      </c>
      <c r="I8" s="18">
        <v>10.76</v>
      </c>
      <c r="J8" s="18" t="s">
        <v>672</v>
      </c>
    </row>
    <row r="9" spans="1:30" x14ac:dyDescent="0.3">
      <c r="B9" s="12">
        <v>4.8000000000000007</v>
      </c>
      <c r="C9" s="78">
        <v>212</v>
      </c>
      <c r="D9" s="78">
        <v>1524</v>
      </c>
      <c r="E9" s="78">
        <v>13.91</v>
      </c>
      <c r="F9" s="78" t="s">
        <v>673</v>
      </c>
      <c r="G9" s="78">
        <v>212</v>
      </c>
      <c r="H9" s="78">
        <v>1524</v>
      </c>
      <c r="I9" s="78">
        <v>13.91</v>
      </c>
      <c r="J9" s="78" t="s">
        <v>673</v>
      </c>
    </row>
    <row r="10" spans="1:30" x14ac:dyDescent="0.3">
      <c r="B10" s="12">
        <v>5</v>
      </c>
      <c r="C10" s="78">
        <v>272</v>
      </c>
      <c r="D10" s="78">
        <v>1524</v>
      </c>
      <c r="E10" s="78">
        <v>17.850000000000001</v>
      </c>
      <c r="F10" s="78" t="s">
        <v>673</v>
      </c>
      <c r="G10" s="78">
        <v>272</v>
      </c>
      <c r="H10" s="78">
        <v>1524</v>
      </c>
      <c r="I10" s="78">
        <v>17.850000000000001</v>
      </c>
      <c r="J10" s="78" t="s">
        <v>673</v>
      </c>
    </row>
    <row r="11" spans="1:30" x14ac:dyDescent="0.3">
      <c r="B11" s="12">
        <v>5.2</v>
      </c>
      <c r="C11" s="78">
        <v>336</v>
      </c>
      <c r="D11" s="78">
        <v>1524</v>
      </c>
      <c r="E11" s="78">
        <v>22.05</v>
      </c>
      <c r="F11" s="78" t="s">
        <v>673</v>
      </c>
      <c r="G11" s="78">
        <v>336</v>
      </c>
      <c r="H11" s="78">
        <v>1524</v>
      </c>
      <c r="I11" s="78">
        <v>22.05</v>
      </c>
      <c r="J11" s="78" t="s">
        <v>673</v>
      </c>
    </row>
    <row r="12" spans="1:30" x14ac:dyDescent="0.3">
      <c r="B12" s="12">
        <v>5.4</v>
      </c>
      <c r="C12" s="14">
        <v>406</v>
      </c>
      <c r="D12" s="14">
        <v>1524</v>
      </c>
      <c r="E12" s="14">
        <v>26.64</v>
      </c>
      <c r="F12" s="14" t="s">
        <v>674</v>
      </c>
      <c r="G12" s="14">
        <v>406</v>
      </c>
      <c r="H12" s="14">
        <v>1524</v>
      </c>
      <c r="I12" s="14">
        <v>26.64</v>
      </c>
      <c r="J12" s="14" t="s">
        <v>674</v>
      </c>
    </row>
    <row r="13" spans="1:30" x14ac:dyDescent="0.3">
      <c r="B13" s="12">
        <v>5.6000000000000005</v>
      </c>
      <c r="C13" s="14">
        <v>472</v>
      </c>
      <c r="D13" s="14">
        <v>1524</v>
      </c>
      <c r="E13" s="14">
        <v>30.97</v>
      </c>
      <c r="F13" s="14" t="s">
        <v>674</v>
      </c>
      <c r="G13" s="14">
        <v>472</v>
      </c>
      <c r="H13" s="14">
        <v>1524</v>
      </c>
      <c r="I13" s="14">
        <v>30.97</v>
      </c>
      <c r="J13" s="14" t="s">
        <v>674</v>
      </c>
    </row>
    <row r="14" spans="1:30" x14ac:dyDescent="0.3">
      <c r="B14" s="12">
        <v>5.8000000000000007</v>
      </c>
      <c r="C14" s="14">
        <v>540</v>
      </c>
      <c r="D14" s="14">
        <v>1524</v>
      </c>
      <c r="E14" s="14">
        <v>35.43</v>
      </c>
      <c r="F14" s="14" t="s">
        <v>674</v>
      </c>
      <c r="G14" s="14">
        <v>540</v>
      </c>
      <c r="H14" s="14">
        <v>1524</v>
      </c>
      <c r="I14" s="14">
        <v>35.43</v>
      </c>
      <c r="J14" s="14" t="s">
        <v>674</v>
      </c>
    </row>
    <row r="15" spans="1:30" x14ac:dyDescent="0.3">
      <c r="B15" s="12">
        <v>6</v>
      </c>
      <c r="C15" s="14">
        <v>621</v>
      </c>
      <c r="D15" s="14">
        <v>1524</v>
      </c>
      <c r="E15" s="14">
        <v>40.75</v>
      </c>
      <c r="F15" s="14" t="s">
        <v>674</v>
      </c>
      <c r="G15" s="14">
        <v>621</v>
      </c>
      <c r="H15" s="14">
        <v>1524</v>
      </c>
      <c r="I15" s="14">
        <v>40.75</v>
      </c>
      <c r="J15" s="14" t="s">
        <v>674</v>
      </c>
    </row>
    <row r="16" spans="1:30" x14ac:dyDescent="0.3">
      <c r="A16" s="12" t="s">
        <v>675</v>
      </c>
      <c r="B16" s="12">
        <v>4</v>
      </c>
      <c r="C16" s="298">
        <v>6</v>
      </c>
      <c r="D16" s="298">
        <v>1524</v>
      </c>
      <c r="E16" s="298">
        <v>0.39</v>
      </c>
      <c r="F16" s="298" t="s">
        <v>668</v>
      </c>
      <c r="G16" s="298">
        <v>6</v>
      </c>
      <c r="H16" s="298">
        <v>1524</v>
      </c>
      <c r="I16" s="298">
        <v>0.39</v>
      </c>
      <c r="J16" s="298" t="s">
        <v>668</v>
      </c>
    </row>
    <row r="17" spans="1:10" x14ac:dyDescent="0.3">
      <c r="B17" s="12">
        <v>3.8000000000000003</v>
      </c>
      <c r="C17" s="299">
        <v>21</v>
      </c>
      <c r="D17" s="299">
        <v>1524</v>
      </c>
      <c r="E17" s="299">
        <v>1.38</v>
      </c>
      <c r="F17" s="299" t="s">
        <v>669</v>
      </c>
      <c r="G17" s="299">
        <v>21</v>
      </c>
      <c r="H17" s="299">
        <v>1524</v>
      </c>
      <c r="I17" s="299">
        <v>1.38</v>
      </c>
      <c r="J17" s="299" t="s">
        <v>669</v>
      </c>
    </row>
    <row r="18" spans="1:10" x14ac:dyDescent="0.3">
      <c r="B18" s="12">
        <v>3.6</v>
      </c>
      <c r="C18" s="75">
        <v>60</v>
      </c>
      <c r="D18" s="75">
        <v>1524</v>
      </c>
      <c r="E18" s="75">
        <v>3.94</v>
      </c>
      <c r="F18" s="75" t="s">
        <v>671</v>
      </c>
      <c r="G18" s="75">
        <v>60</v>
      </c>
      <c r="H18" s="75">
        <v>1524</v>
      </c>
      <c r="I18" s="75">
        <v>3.94</v>
      </c>
      <c r="J18" s="75" t="s">
        <v>671</v>
      </c>
    </row>
    <row r="19" spans="1:10" x14ac:dyDescent="0.3">
      <c r="B19" s="12">
        <v>3.4000000000000004</v>
      </c>
      <c r="C19" s="18">
        <v>111</v>
      </c>
      <c r="D19" s="18">
        <v>1524</v>
      </c>
      <c r="E19" s="18">
        <v>7.28</v>
      </c>
      <c r="F19" s="18" t="s">
        <v>672</v>
      </c>
      <c r="G19" s="18">
        <v>111</v>
      </c>
      <c r="H19" s="18">
        <v>1524</v>
      </c>
      <c r="I19" s="18">
        <v>7.28</v>
      </c>
      <c r="J19" s="18" t="s">
        <v>672</v>
      </c>
    </row>
    <row r="20" spans="1:10" x14ac:dyDescent="0.3">
      <c r="B20" s="12">
        <v>3.2</v>
      </c>
      <c r="C20" s="78">
        <v>216</v>
      </c>
      <c r="D20" s="78">
        <v>1524</v>
      </c>
      <c r="E20" s="78">
        <v>14.17</v>
      </c>
      <c r="F20" s="78" t="s">
        <v>673</v>
      </c>
      <c r="G20" s="78">
        <v>216</v>
      </c>
      <c r="H20" s="78">
        <v>1524</v>
      </c>
      <c r="I20" s="78">
        <v>14.17</v>
      </c>
      <c r="J20" s="78" t="s">
        <v>673</v>
      </c>
    </row>
    <row r="21" spans="1:10" x14ac:dyDescent="0.3">
      <c r="B21" s="12">
        <v>3</v>
      </c>
      <c r="C21" s="14">
        <v>397</v>
      </c>
      <c r="D21" s="14">
        <v>1524</v>
      </c>
      <c r="E21" s="14">
        <v>26.05</v>
      </c>
      <c r="F21" s="14" t="s">
        <v>674</v>
      </c>
      <c r="G21" s="14">
        <v>397</v>
      </c>
      <c r="H21" s="14">
        <v>1524</v>
      </c>
      <c r="I21" s="14">
        <v>26.05</v>
      </c>
      <c r="J21" s="14" t="s">
        <v>674</v>
      </c>
    </row>
    <row r="22" spans="1:10" x14ac:dyDescent="0.3">
      <c r="B22" s="12">
        <v>2.8000000000000003</v>
      </c>
      <c r="C22" s="14">
        <v>611</v>
      </c>
      <c r="D22" s="14">
        <v>1524</v>
      </c>
      <c r="E22" s="14">
        <v>40.090000000000003</v>
      </c>
      <c r="F22" s="14" t="s">
        <v>674</v>
      </c>
      <c r="G22" s="14">
        <v>611</v>
      </c>
      <c r="H22" s="14">
        <v>1524</v>
      </c>
      <c r="I22" s="14">
        <v>40.090000000000003</v>
      </c>
      <c r="J22" s="14" t="s">
        <v>674</v>
      </c>
    </row>
    <row r="23" spans="1:10" x14ac:dyDescent="0.3">
      <c r="B23" s="12">
        <v>2.6</v>
      </c>
      <c r="C23" s="78">
        <v>851</v>
      </c>
      <c r="D23" s="78">
        <v>1524</v>
      </c>
      <c r="E23" s="78">
        <v>55.84</v>
      </c>
      <c r="F23" s="78" t="s">
        <v>677</v>
      </c>
      <c r="G23" s="78">
        <v>851</v>
      </c>
      <c r="H23" s="78">
        <v>1524</v>
      </c>
      <c r="I23" s="78">
        <v>55.84</v>
      </c>
      <c r="J23" s="78" t="s">
        <v>677</v>
      </c>
    </row>
    <row r="24" spans="1:10" x14ac:dyDescent="0.3">
      <c r="B24" s="12">
        <v>2.4000000000000004</v>
      </c>
      <c r="C24" s="78">
        <v>1100</v>
      </c>
      <c r="D24" s="78">
        <v>1524</v>
      </c>
      <c r="E24" s="78">
        <v>72.180000000000007</v>
      </c>
      <c r="F24" s="78" t="s">
        <v>677</v>
      </c>
      <c r="G24" s="78">
        <v>1100</v>
      </c>
      <c r="H24" s="78">
        <v>1524</v>
      </c>
      <c r="I24" s="78">
        <v>72.180000000000007</v>
      </c>
      <c r="J24" s="78" t="s">
        <v>677</v>
      </c>
    </row>
    <row r="25" spans="1:10" x14ac:dyDescent="0.3">
      <c r="B25" s="12">
        <v>2.2000000000000002</v>
      </c>
      <c r="C25" s="14">
        <v>1300</v>
      </c>
      <c r="D25" s="14">
        <v>1524</v>
      </c>
      <c r="E25" s="14">
        <v>85.3</v>
      </c>
      <c r="F25" s="14" t="s">
        <v>677</v>
      </c>
      <c r="G25" s="14">
        <v>1300</v>
      </c>
      <c r="H25" s="14">
        <v>1524</v>
      </c>
      <c r="I25" s="14">
        <v>85.3</v>
      </c>
      <c r="J25" s="14" t="s">
        <v>677</v>
      </c>
    </row>
    <row r="26" spans="1:10" x14ac:dyDescent="0.3">
      <c r="B26" s="12">
        <v>2</v>
      </c>
      <c r="C26" s="14">
        <v>1426</v>
      </c>
      <c r="D26" s="14">
        <v>1524</v>
      </c>
      <c r="E26" s="14">
        <v>93.57</v>
      </c>
      <c r="F26" s="14" t="s">
        <v>677</v>
      </c>
      <c r="G26" s="14">
        <v>1426</v>
      </c>
      <c r="H26" s="14">
        <v>1524</v>
      </c>
      <c r="I26" s="14">
        <v>93.57</v>
      </c>
      <c r="J26" s="14" t="s">
        <v>677</v>
      </c>
    </row>
    <row r="27" spans="1:10" x14ac:dyDescent="0.3">
      <c r="B27" s="12">
        <v>1.8</v>
      </c>
      <c r="C27" s="35">
        <v>1490</v>
      </c>
      <c r="D27" s="35">
        <v>1524</v>
      </c>
      <c r="E27" s="35">
        <v>97.77</v>
      </c>
      <c r="F27" s="35" t="s">
        <v>677</v>
      </c>
      <c r="G27" s="12">
        <v>1490</v>
      </c>
      <c r="H27" s="12">
        <v>1524</v>
      </c>
      <c r="I27" s="12">
        <v>97.77</v>
      </c>
      <c r="J27" s="12" t="s">
        <v>677</v>
      </c>
    </row>
    <row r="28" spans="1:10" x14ac:dyDescent="0.3">
      <c r="B28" s="12">
        <v>1.6</v>
      </c>
      <c r="C28" s="35">
        <v>1516</v>
      </c>
      <c r="D28" s="35">
        <v>1524</v>
      </c>
      <c r="E28" s="35">
        <v>99.48</v>
      </c>
      <c r="F28" s="35" t="s">
        <v>677</v>
      </c>
      <c r="G28" s="12">
        <v>1516</v>
      </c>
      <c r="H28" s="12">
        <v>1524</v>
      </c>
      <c r="I28" s="12">
        <v>99.48</v>
      </c>
      <c r="J28" s="12" t="s">
        <v>677</v>
      </c>
    </row>
    <row r="29" spans="1:10" x14ac:dyDescent="0.3">
      <c r="B29" s="12">
        <v>1.4000000000000001</v>
      </c>
      <c r="C29" s="35">
        <v>1519</v>
      </c>
      <c r="D29" s="35">
        <v>1524</v>
      </c>
      <c r="E29" s="35">
        <v>99.67</v>
      </c>
      <c r="F29" s="35" t="s">
        <v>677</v>
      </c>
      <c r="G29" s="12">
        <v>1519</v>
      </c>
      <c r="H29" s="12">
        <v>1524</v>
      </c>
      <c r="I29" s="12">
        <v>99.67</v>
      </c>
      <c r="J29" s="12" t="s">
        <v>677</v>
      </c>
    </row>
    <row r="30" spans="1:10" x14ac:dyDescent="0.3">
      <c r="A30" s="12" t="s">
        <v>678</v>
      </c>
      <c r="B30" s="12">
        <v>50</v>
      </c>
      <c r="C30" s="301">
        <v>9</v>
      </c>
      <c r="D30" s="301">
        <v>1524</v>
      </c>
      <c r="E30" s="301">
        <v>0.59</v>
      </c>
      <c r="F30" s="301" t="s">
        <v>676</v>
      </c>
      <c r="G30" s="301">
        <v>9</v>
      </c>
      <c r="H30" s="301">
        <v>1524</v>
      </c>
      <c r="I30" s="301">
        <v>0.59</v>
      </c>
      <c r="J30" s="301" t="s">
        <v>676</v>
      </c>
    </row>
    <row r="31" spans="1:10" x14ac:dyDescent="0.3">
      <c r="B31" s="12">
        <v>40</v>
      </c>
      <c r="C31" s="75">
        <v>86</v>
      </c>
      <c r="D31" s="75">
        <v>1524</v>
      </c>
      <c r="E31" s="75">
        <v>5.64</v>
      </c>
      <c r="F31" s="75" t="s">
        <v>671</v>
      </c>
      <c r="G31" s="75">
        <v>86</v>
      </c>
      <c r="H31" s="75">
        <v>1524</v>
      </c>
      <c r="I31" s="75">
        <v>5.64</v>
      </c>
      <c r="J31" s="75" t="s">
        <v>671</v>
      </c>
    </row>
    <row r="32" spans="1:10" x14ac:dyDescent="0.3">
      <c r="B32" s="12">
        <v>30</v>
      </c>
      <c r="C32" s="14">
        <v>452</v>
      </c>
      <c r="D32" s="14">
        <v>1524</v>
      </c>
      <c r="E32" s="14">
        <v>29.66</v>
      </c>
      <c r="F32" s="14" t="s">
        <v>674</v>
      </c>
      <c r="G32" s="14">
        <v>452</v>
      </c>
      <c r="H32" s="14">
        <v>1524</v>
      </c>
      <c r="I32" s="14">
        <v>29.66</v>
      </c>
      <c r="J32" s="14" t="s">
        <v>674</v>
      </c>
    </row>
    <row r="33" spans="1:10" x14ac:dyDescent="0.3">
      <c r="B33" s="12">
        <v>20</v>
      </c>
      <c r="C33" s="14">
        <v>1331</v>
      </c>
      <c r="D33" s="14">
        <v>1524</v>
      </c>
      <c r="E33" s="14">
        <v>87.34</v>
      </c>
      <c r="F33" s="14" t="s">
        <v>677</v>
      </c>
      <c r="G33" s="14">
        <v>1331</v>
      </c>
      <c r="H33" s="14">
        <v>1524</v>
      </c>
      <c r="I33" s="14">
        <v>87.34</v>
      </c>
      <c r="J33" s="14" t="s">
        <v>677</v>
      </c>
    </row>
    <row r="34" spans="1:10" x14ac:dyDescent="0.3">
      <c r="B34" s="12">
        <v>10</v>
      </c>
      <c r="C34" s="35">
        <v>1520</v>
      </c>
      <c r="D34" s="35">
        <v>1524</v>
      </c>
      <c r="E34" s="35">
        <v>99.74</v>
      </c>
      <c r="F34" s="35" t="s">
        <v>677</v>
      </c>
      <c r="G34" s="12">
        <v>1520</v>
      </c>
      <c r="H34" s="12">
        <v>1524</v>
      </c>
      <c r="I34" s="12">
        <v>99.74</v>
      </c>
      <c r="J34" s="12" t="s">
        <v>677</v>
      </c>
    </row>
    <row r="35" spans="1:10" x14ac:dyDescent="0.3">
      <c r="B35" s="12">
        <v>0</v>
      </c>
      <c r="C35" s="35">
        <v>1524</v>
      </c>
      <c r="D35" s="35">
        <v>1524</v>
      </c>
      <c r="E35" s="35">
        <v>100</v>
      </c>
      <c r="F35" s="35" t="s">
        <v>677</v>
      </c>
      <c r="G35" s="12">
        <v>1524</v>
      </c>
      <c r="H35" s="12">
        <v>1524</v>
      </c>
      <c r="I35" s="12">
        <v>100</v>
      </c>
      <c r="J35" s="12" t="s">
        <v>677</v>
      </c>
    </row>
    <row r="36" spans="1:10" x14ac:dyDescent="0.3">
      <c r="B36" s="12">
        <v>-10</v>
      </c>
      <c r="C36" s="35">
        <v>1524</v>
      </c>
      <c r="D36" s="35">
        <v>1524</v>
      </c>
      <c r="E36" s="35">
        <v>100</v>
      </c>
      <c r="F36" s="35" t="s">
        <v>677</v>
      </c>
      <c r="G36" s="12">
        <v>1524</v>
      </c>
      <c r="H36" s="12">
        <v>1524</v>
      </c>
      <c r="I36" s="12">
        <v>100</v>
      </c>
      <c r="J36" s="12" t="s">
        <v>677</v>
      </c>
    </row>
    <row r="37" spans="1:10" x14ac:dyDescent="0.3">
      <c r="B37" s="12">
        <v>-20</v>
      </c>
      <c r="C37" s="35">
        <v>1524</v>
      </c>
      <c r="D37" s="35">
        <v>1524</v>
      </c>
      <c r="E37" s="35">
        <v>100</v>
      </c>
      <c r="F37" s="35" t="s">
        <v>677</v>
      </c>
      <c r="G37" s="12">
        <v>1524</v>
      </c>
      <c r="H37" s="12">
        <v>1524</v>
      </c>
      <c r="I37" s="12">
        <v>100</v>
      </c>
      <c r="J37" s="12" t="s">
        <v>677</v>
      </c>
    </row>
    <row r="38" spans="1:10" x14ac:dyDescent="0.3">
      <c r="B38" s="12">
        <v>-30</v>
      </c>
      <c r="C38" s="35">
        <v>1524</v>
      </c>
      <c r="D38" s="35">
        <v>1524</v>
      </c>
      <c r="E38" s="35">
        <v>100</v>
      </c>
      <c r="F38" s="35" t="s">
        <v>677</v>
      </c>
      <c r="G38" s="12">
        <v>1524</v>
      </c>
      <c r="H38" s="12">
        <v>1524</v>
      </c>
      <c r="I38" s="12">
        <v>100</v>
      </c>
      <c r="J38" s="12" t="s">
        <v>677</v>
      </c>
    </row>
    <row r="39" spans="1:10" x14ac:dyDescent="0.3">
      <c r="B39" s="12">
        <v>-40</v>
      </c>
      <c r="C39" s="35">
        <v>1524</v>
      </c>
      <c r="D39" s="35">
        <v>1524</v>
      </c>
      <c r="E39" s="35">
        <v>100</v>
      </c>
      <c r="F39" s="35" t="s">
        <v>677</v>
      </c>
      <c r="G39" s="12">
        <v>1524</v>
      </c>
      <c r="H39" s="12">
        <v>1524</v>
      </c>
      <c r="I39" s="12">
        <v>100</v>
      </c>
      <c r="J39" s="12" t="s">
        <v>677</v>
      </c>
    </row>
    <row r="40" spans="1:10" x14ac:dyDescent="0.3">
      <c r="B40" s="12">
        <v>-50</v>
      </c>
      <c r="C40" s="35">
        <v>1524</v>
      </c>
      <c r="D40" s="35">
        <v>1524</v>
      </c>
      <c r="E40" s="35">
        <v>100</v>
      </c>
      <c r="F40" s="35" t="s">
        <v>677</v>
      </c>
      <c r="G40" s="12">
        <v>1524</v>
      </c>
      <c r="H40" s="12">
        <v>1524</v>
      </c>
      <c r="I40" s="12">
        <v>100</v>
      </c>
      <c r="J40" s="12" t="s">
        <v>677</v>
      </c>
    </row>
    <row r="41" spans="1:10" x14ac:dyDescent="0.3">
      <c r="B41" s="12">
        <v>-60</v>
      </c>
      <c r="C41" s="35">
        <v>1524</v>
      </c>
      <c r="D41" s="35">
        <v>1524</v>
      </c>
      <c r="E41" s="35">
        <v>100</v>
      </c>
      <c r="F41" s="35" t="s">
        <v>677</v>
      </c>
      <c r="G41" s="12">
        <v>1524</v>
      </c>
      <c r="H41" s="12">
        <v>1524</v>
      </c>
      <c r="I41" s="12">
        <v>100</v>
      </c>
      <c r="J41" s="12" t="s">
        <v>677</v>
      </c>
    </row>
    <row r="42" spans="1:10" x14ac:dyDescent="0.3">
      <c r="B42" s="12">
        <v>-70</v>
      </c>
      <c r="C42" s="35">
        <v>1524</v>
      </c>
      <c r="D42" s="35">
        <v>1524</v>
      </c>
      <c r="E42" s="35">
        <v>100</v>
      </c>
      <c r="F42" s="35" t="s">
        <v>677</v>
      </c>
      <c r="G42" s="12">
        <v>1524</v>
      </c>
      <c r="H42" s="12">
        <v>1524</v>
      </c>
      <c r="I42" s="12">
        <v>100</v>
      </c>
      <c r="J42" s="12" t="s">
        <v>677</v>
      </c>
    </row>
    <row r="43" spans="1:10" x14ac:dyDescent="0.3">
      <c r="B43" s="12">
        <v>-80</v>
      </c>
      <c r="C43" s="35">
        <v>1524</v>
      </c>
      <c r="D43" s="35">
        <v>1524</v>
      </c>
      <c r="E43" s="35">
        <v>100</v>
      </c>
      <c r="F43" s="35" t="s">
        <v>677</v>
      </c>
      <c r="G43" s="12">
        <v>1524</v>
      </c>
      <c r="H43" s="12">
        <v>1524</v>
      </c>
      <c r="I43" s="12">
        <v>100</v>
      </c>
      <c r="J43" s="12" t="s">
        <v>677</v>
      </c>
    </row>
    <row r="44" spans="1:10" x14ac:dyDescent="0.3">
      <c r="A44" s="12" t="s">
        <v>679</v>
      </c>
      <c r="B44" s="12">
        <v>17</v>
      </c>
      <c r="C44" s="299">
        <v>6</v>
      </c>
      <c r="D44" s="299">
        <v>586</v>
      </c>
      <c r="E44" s="299">
        <v>1.02</v>
      </c>
      <c r="F44" s="299" t="s">
        <v>669</v>
      </c>
      <c r="G44" s="299">
        <v>6</v>
      </c>
      <c r="H44" s="299">
        <v>586</v>
      </c>
      <c r="I44" s="299">
        <v>1.02</v>
      </c>
      <c r="J44" s="299" t="s">
        <v>669</v>
      </c>
    </row>
    <row r="45" spans="1:10" x14ac:dyDescent="0.3">
      <c r="B45" s="12">
        <v>18</v>
      </c>
      <c r="C45" s="300">
        <v>11</v>
      </c>
      <c r="D45" s="300">
        <v>586</v>
      </c>
      <c r="E45" s="300">
        <v>1.88</v>
      </c>
      <c r="F45" s="300" t="s">
        <v>670</v>
      </c>
      <c r="G45" s="300">
        <v>11</v>
      </c>
      <c r="H45" s="300">
        <v>586</v>
      </c>
      <c r="I45" s="300">
        <v>1.88</v>
      </c>
      <c r="J45" s="300" t="s">
        <v>670</v>
      </c>
    </row>
    <row r="46" spans="1:10" x14ac:dyDescent="0.3">
      <c r="B46" s="12">
        <v>19</v>
      </c>
      <c r="C46" s="75">
        <v>24</v>
      </c>
      <c r="D46" s="75">
        <v>586</v>
      </c>
      <c r="E46" s="75">
        <v>4.0999999999999996</v>
      </c>
      <c r="F46" s="75" t="s">
        <v>671</v>
      </c>
      <c r="G46" s="75">
        <v>24</v>
      </c>
      <c r="H46" s="75">
        <v>586</v>
      </c>
      <c r="I46" s="75">
        <v>4.0999999999999996</v>
      </c>
      <c r="J46" s="75" t="s">
        <v>671</v>
      </c>
    </row>
    <row r="47" spans="1:10" x14ac:dyDescent="0.3">
      <c r="B47" s="12">
        <v>20</v>
      </c>
      <c r="C47" s="18">
        <v>43</v>
      </c>
      <c r="D47" s="18">
        <v>586</v>
      </c>
      <c r="E47" s="18">
        <v>7.34</v>
      </c>
      <c r="F47" s="18" t="s">
        <v>672</v>
      </c>
      <c r="G47" s="18">
        <v>43</v>
      </c>
      <c r="H47" s="18">
        <v>586</v>
      </c>
      <c r="I47" s="18">
        <v>7.34</v>
      </c>
      <c r="J47" s="18" t="s">
        <v>672</v>
      </c>
    </row>
    <row r="48" spans="1:10" x14ac:dyDescent="0.3">
      <c r="B48" s="12">
        <v>21</v>
      </c>
      <c r="C48" s="78">
        <v>75</v>
      </c>
      <c r="D48" s="78">
        <v>586</v>
      </c>
      <c r="E48" s="78">
        <v>12.8</v>
      </c>
      <c r="F48" s="78" t="s">
        <v>673</v>
      </c>
      <c r="G48" s="78">
        <v>75</v>
      </c>
      <c r="H48" s="78">
        <v>586</v>
      </c>
      <c r="I48" s="78">
        <v>12.8</v>
      </c>
      <c r="J48" s="78" t="s">
        <v>673</v>
      </c>
    </row>
    <row r="49" spans="1:10" x14ac:dyDescent="0.3">
      <c r="B49" s="12">
        <v>22</v>
      </c>
      <c r="C49" s="78">
        <v>124</v>
      </c>
      <c r="D49" s="78">
        <v>586</v>
      </c>
      <c r="E49" s="78">
        <v>21.16</v>
      </c>
      <c r="F49" s="78" t="s">
        <v>673</v>
      </c>
      <c r="G49" s="78">
        <v>124</v>
      </c>
      <c r="H49" s="78">
        <v>586</v>
      </c>
      <c r="I49" s="78">
        <v>21.16</v>
      </c>
      <c r="J49" s="78" t="s">
        <v>673</v>
      </c>
    </row>
    <row r="50" spans="1:10" x14ac:dyDescent="0.3">
      <c r="B50" s="12">
        <v>23</v>
      </c>
      <c r="C50" s="14">
        <v>188</v>
      </c>
      <c r="D50" s="14">
        <v>586</v>
      </c>
      <c r="E50" s="14">
        <v>32.08</v>
      </c>
      <c r="F50" s="14" t="s">
        <v>674</v>
      </c>
      <c r="G50" s="14">
        <v>188</v>
      </c>
      <c r="H50" s="14">
        <v>586</v>
      </c>
      <c r="I50" s="14">
        <v>32.08</v>
      </c>
      <c r="J50" s="14" t="s">
        <v>674</v>
      </c>
    </row>
    <row r="51" spans="1:10" x14ac:dyDescent="0.3">
      <c r="B51" s="12">
        <v>24</v>
      </c>
      <c r="C51" s="14">
        <v>249</v>
      </c>
      <c r="D51" s="14">
        <v>586</v>
      </c>
      <c r="E51" s="14">
        <v>42.49</v>
      </c>
      <c r="F51" s="14" t="s">
        <v>674</v>
      </c>
      <c r="G51" s="14">
        <v>249</v>
      </c>
      <c r="H51" s="14">
        <v>586</v>
      </c>
      <c r="I51" s="14">
        <v>42.49</v>
      </c>
      <c r="J51" s="14" t="s">
        <v>674</v>
      </c>
    </row>
    <row r="52" spans="1:10" x14ac:dyDescent="0.3">
      <c r="B52" s="12">
        <v>25</v>
      </c>
      <c r="C52" s="14">
        <v>318</v>
      </c>
      <c r="D52" s="14">
        <v>586</v>
      </c>
      <c r="E52" s="14">
        <v>54.27</v>
      </c>
      <c r="F52" s="14" t="s">
        <v>677</v>
      </c>
      <c r="G52" s="14">
        <v>318</v>
      </c>
      <c r="H52" s="14">
        <v>586</v>
      </c>
      <c r="I52" s="14">
        <v>54.27</v>
      </c>
      <c r="J52" s="14" t="s">
        <v>677</v>
      </c>
    </row>
    <row r="53" spans="1:10" x14ac:dyDescent="0.3">
      <c r="B53" s="12">
        <v>26</v>
      </c>
      <c r="C53" s="18">
        <v>373</v>
      </c>
      <c r="D53" s="18">
        <v>586</v>
      </c>
      <c r="E53" s="18">
        <v>63.65</v>
      </c>
      <c r="F53" s="18" t="s">
        <v>677</v>
      </c>
      <c r="G53" s="18">
        <v>373</v>
      </c>
      <c r="H53" s="18">
        <v>586</v>
      </c>
      <c r="I53" s="18">
        <v>63.65</v>
      </c>
      <c r="J53" s="18" t="s">
        <v>677</v>
      </c>
    </row>
    <row r="54" spans="1:10" x14ac:dyDescent="0.3">
      <c r="B54" s="12">
        <v>27</v>
      </c>
      <c r="C54" s="78">
        <v>424</v>
      </c>
      <c r="D54" s="78">
        <v>586</v>
      </c>
      <c r="E54" s="78">
        <v>72.349999999999994</v>
      </c>
      <c r="F54" s="78" t="s">
        <v>677</v>
      </c>
      <c r="G54" s="78">
        <v>424</v>
      </c>
      <c r="H54" s="78">
        <v>586</v>
      </c>
      <c r="I54" s="78">
        <v>72.349999999999994</v>
      </c>
      <c r="J54" s="78" t="s">
        <v>677</v>
      </c>
    </row>
    <row r="55" spans="1:10" x14ac:dyDescent="0.3">
      <c r="B55" s="12">
        <v>28</v>
      </c>
      <c r="C55" s="78">
        <v>468</v>
      </c>
      <c r="D55" s="78">
        <v>586</v>
      </c>
      <c r="E55" s="78">
        <v>79.86</v>
      </c>
      <c r="F55" s="78" t="s">
        <v>677</v>
      </c>
      <c r="G55" s="78">
        <v>468</v>
      </c>
      <c r="H55" s="78">
        <v>586</v>
      </c>
      <c r="I55" s="78">
        <v>79.86</v>
      </c>
      <c r="J55" s="78" t="s">
        <v>677</v>
      </c>
    </row>
    <row r="56" spans="1:10" x14ac:dyDescent="0.3">
      <c r="B56" s="12">
        <v>29</v>
      </c>
      <c r="C56" s="78">
        <v>501</v>
      </c>
      <c r="D56" s="78">
        <v>586</v>
      </c>
      <c r="E56" s="78">
        <v>85.49</v>
      </c>
      <c r="F56" s="78" t="s">
        <v>677</v>
      </c>
      <c r="G56" s="78">
        <v>501</v>
      </c>
      <c r="H56" s="78">
        <v>586</v>
      </c>
      <c r="I56" s="78">
        <v>85.49</v>
      </c>
      <c r="J56" s="78" t="s">
        <v>677</v>
      </c>
    </row>
    <row r="57" spans="1:10" x14ac:dyDescent="0.3">
      <c r="B57" s="12">
        <v>30</v>
      </c>
      <c r="C57" s="78">
        <v>527</v>
      </c>
      <c r="D57" s="78">
        <v>586</v>
      </c>
      <c r="E57" s="78">
        <v>89.93</v>
      </c>
      <c r="F57" s="78" t="s">
        <v>677</v>
      </c>
      <c r="G57" s="78">
        <v>527</v>
      </c>
      <c r="H57" s="78">
        <v>586</v>
      </c>
      <c r="I57" s="78">
        <v>89.93</v>
      </c>
      <c r="J57" s="78" t="s">
        <v>677</v>
      </c>
    </row>
    <row r="58" spans="1:10" x14ac:dyDescent="0.3">
      <c r="A58" s="12" t="s">
        <v>680</v>
      </c>
      <c r="B58" s="12">
        <v>3.2</v>
      </c>
      <c r="C58" s="300">
        <v>13</v>
      </c>
      <c r="D58" s="300">
        <v>586</v>
      </c>
      <c r="E58" s="300">
        <v>2.2200000000000002</v>
      </c>
      <c r="F58" s="300" t="s">
        <v>670</v>
      </c>
      <c r="G58" s="300">
        <v>13</v>
      </c>
      <c r="H58" s="300">
        <v>586</v>
      </c>
      <c r="I58" s="300">
        <v>2.2200000000000002</v>
      </c>
      <c r="J58" s="300" t="s">
        <v>670</v>
      </c>
    </row>
    <row r="59" spans="1:10" x14ac:dyDescent="0.3">
      <c r="B59" s="12">
        <v>3</v>
      </c>
      <c r="C59" s="18">
        <v>53</v>
      </c>
      <c r="D59" s="18">
        <v>586</v>
      </c>
      <c r="E59" s="18">
        <v>9.0399999999999991</v>
      </c>
      <c r="F59" s="18" t="s">
        <v>672</v>
      </c>
      <c r="G59" s="18">
        <v>53</v>
      </c>
      <c r="H59" s="18">
        <v>586</v>
      </c>
      <c r="I59" s="18">
        <v>9.0399999999999991</v>
      </c>
      <c r="J59" s="18" t="s">
        <v>672</v>
      </c>
    </row>
    <row r="60" spans="1:10" x14ac:dyDescent="0.3">
      <c r="B60" s="12">
        <v>2.8000000000000003</v>
      </c>
      <c r="C60" s="14">
        <v>148</v>
      </c>
      <c r="D60" s="14">
        <v>586</v>
      </c>
      <c r="E60" s="14">
        <v>25.26</v>
      </c>
      <c r="F60" s="14" t="s">
        <v>674</v>
      </c>
      <c r="G60" s="14">
        <v>148</v>
      </c>
      <c r="H60" s="14">
        <v>586</v>
      </c>
      <c r="I60" s="14">
        <v>25.26</v>
      </c>
      <c r="J60" s="14" t="s">
        <v>674</v>
      </c>
    </row>
    <row r="61" spans="1:10" x14ac:dyDescent="0.3">
      <c r="B61" s="12">
        <v>2.6</v>
      </c>
      <c r="C61" s="14">
        <v>302</v>
      </c>
      <c r="D61" s="14">
        <v>586</v>
      </c>
      <c r="E61" s="14">
        <v>51.54</v>
      </c>
      <c r="F61" s="14" t="s">
        <v>677</v>
      </c>
      <c r="G61" s="14">
        <v>302</v>
      </c>
      <c r="H61" s="14">
        <v>586</v>
      </c>
      <c r="I61" s="14">
        <v>51.54</v>
      </c>
      <c r="J61" s="14" t="s">
        <v>677</v>
      </c>
    </row>
    <row r="62" spans="1:10" x14ac:dyDescent="0.3">
      <c r="B62" s="12">
        <v>2.4000000000000004</v>
      </c>
      <c r="C62" s="18">
        <v>416</v>
      </c>
      <c r="D62" s="18">
        <v>586</v>
      </c>
      <c r="E62" s="18">
        <v>70.989999999999995</v>
      </c>
      <c r="F62" s="18" t="s">
        <v>677</v>
      </c>
      <c r="G62" s="18">
        <v>416</v>
      </c>
      <c r="H62" s="18">
        <v>586</v>
      </c>
      <c r="I62" s="18">
        <v>70.989999999999995</v>
      </c>
      <c r="J62" s="18" t="s">
        <v>677</v>
      </c>
    </row>
    <row r="63" spans="1:10" x14ac:dyDescent="0.3">
      <c r="B63" s="12">
        <v>2.2000000000000002</v>
      </c>
      <c r="C63" s="18">
        <v>524</v>
      </c>
      <c r="D63" s="18">
        <v>586</v>
      </c>
      <c r="E63" s="18">
        <v>89.42</v>
      </c>
      <c r="F63" s="18" t="s">
        <v>677</v>
      </c>
      <c r="G63" s="18">
        <v>524</v>
      </c>
      <c r="H63" s="18">
        <v>586</v>
      </c>
      <c r="I63" s="18">
        <v>89.42</v>
      </c>
      <c r="J63" s="18" t="s">
        <v>677</v>
      </c>
    </row>
    <row r="64" spans="1:10" x14ac:dyDescent="0.3">
      <c r="B64" s="12">
        <v>2</v>
      </c>
      <c r="C64" s="78">
        <v>571</v>
      </c>
      <c r="D64" s="78">
        <v>586</v>
      </c>
      <c r="E64" s="78">
        <v>97.44</v>
      </c>
      <c r="F64" s="78" t="s">
        <v>677</v>
      </c>
      <c r="G64" s="78">
        <v>571</v>
      </c>
      <c r="H64" s="78">
        <v>586</v>
      </c>
      <c r="I64" s="78">
        <v>97.44</v>
      </c>
      <c r="J64" s="78" t="s">
        <v>677</v>
      </c>
    </row>
    <row r="65" spans="1:10" x14ac:dyDescent="0.3">
      <c r="B65" s="12">
        <v>1.8</v>
      </c>
      <c r="C65" s="14">
        <v>580</v>
      </c>
      <c r="D65" s="14">
        <v>586</v>
      </c>
      <c r="E65" s="14">
        <v>98.98</v>
      </c>
      <c r="F65" s="14" t="s">
        <v>677</v>
      </c>
      <c r="G65" s="14">
        <v>580</v>
      </c>
      <c r="H65" s="14">
        <v>586</v>
      </c>
      <c r="I65" s="14">
        <v>98.98</v>
      </c>
      <c r="J65" s="14" t="s">
        <v>677</v>
      </c>
    </row>
    <row r="66" spans="1:10" x14ac:dyDescent="0.3">
      <c r="B66" s="12">
        <v>1.6</v>
      </c>
      <c r="C66" s="14">
        <v>582</v>
      </c>
      <c r="D66" s="14">
        <v>586</v>
      </c>
      <c r="E66" s="14">
        <v>99.32</v>
      </c>
      <c r="F66" s="14" t="s">
        <v>677</v>
      </c>
      <c r="G66" s="14">
        <v>582</v>
      </c>
      <c r="H66" s="14">
        <v>586</v>
      </c>
      <c r="I66" s="14">
        <v>99.32</v>
      </c>
      <c r="J66" s="14" t="s">
        <v>677</v>
      </c>
    </row>
    <row r="67" spans="1:10" x14ac:dyDescent="0.3">
      <c r="B67" s="12">
        <v>1.4000000000000001</v>
      </c>
      <c r="C67" s="35">
        <v>585</v>
      </c>
      <c r="D67" s="35">
        <v>586</v>
      </c>
      <c r="E67" s="35">
        <v>99.83</v>
      </c>
      <c r="F67" s="35" t="s">
        <v>677</v>
      </c>
      <c r="G67" s="12">
        <v>585</v>
      </c>
      <c r="H67" s="12">
        <v>586</v>
      </c>
      <c r="I67" s="12">
        <v>99.83</v>
      </c>
      <c r="J67" s="12" t="s">
        <v>677</v>
      </c>
    </row>
    <row r="68" spans="1:10" x14ac:dyDescent="0.3">
      <c r="B68" s="12">
        <v>1.2000000000000002</v>
      </c>
      <c r="C68" s="35">
        <v>586</v>
      </c>
      <c r="D68" s="35">
        <v>586</v>
      </c>
      <c r="E68" s="35">
        <v>100</v>
      </c>
      <c r="F68" s="35" t="s">
        <v>677</v>
      </c>
      <c r="G68" s="12">
        <v>586</v>
      </c>
      <c r="H68" s="12">
        <v>586</v>
      </c>
      <c r="I68" s="12">
        <v>100</v>
      </c>
      <c r="J68" s="12" t="s">
        <v>677</v>
      </c>
    </row>
    <row r="69" spans="1:10" x14ac:dyDescent="0.3">
      <c r="B69" s="12">
        <v>1</v>
      </c>
      <c r="C69" s="35">
        <v>586</v>
      </c>
      <c r="D69" s="35">
        <v>586</v>
      </c>
      <c r="E69" s="35">
        <v>100</v>
      </c>
      <c r="F69" s="35" t="s">
        <v>677</v>
      </c>
      <c r="G69" s="12">
        <v>586</v>
      </c>
      <c r="H69" s="12">
        <v>586</v>
      </c>
      <c r="I69" s="12">
        <v>100</v>
      </c>
      <c r="J69" s="12" t="s">
        <v>677</v>
      </c>
    </row>
    <row r="70" spans="1:10" x14ac:dyDescent="0.3">
      <c r="B70" s="12">
        <v>0.8</v>
      </c>
      <c r="C70" s="35">
        <v>586</v>
      </c>
      <c r="D70" s="35">
        <v>586</v>
      </c>
      <c r="E70" s="35">
        <v>100</v>
      </c>
      <c r="F70" s="35" t="s">
        <v>677</v>
      </c>
      <c r="G70" s="12">
        <v>586</v>
      </c>
      <c r="H70" s="12">
        <v>586</v>
      </c>
      <c r="I70" s="12">
        <v>100</v>
      </c>
      <c r="J70" s="12" t="s">
        <v>677</v>
      </c>
    </row>
    <row r="71" spans="1:10" x14ac:dyDescent="0.3">
      <c r="B71" s="12">
        <v>0.60000000000000009</v>
      </c>
      <c r="C71" s="35">
        <v>586</v>
      </c>
      <c r="D71" s="35">
        <v>586</v>
      </c>
      <c r="E71" s="35">
        <v>100</v>
      </c>
      <c r="F71" s="35" t="s">
        <v>677</v>
      </c>
      <c r="G71" s="12">
        <v>586</v>
      </c>
      <c r="H71" s="12">
        <v>586</v>
      </c>
      <c r="I71" s="12">
        <v>100</v>
      </c>
      <c r="J71" s="12" t="s">
        <v>677</v>
      </c>
    </row>
    <row r="72" spans="1:10" x14ac:dyDescent="0.3">
      <c r="A72" s="12" t="s">
        <v>681</v>
      </c>
      <c r="B72" s="12">
        <v>66</v>
      </c>
      <c r="C72" s="301">
        <v>4</v>
      </c>
      <c r="D72" s="301">
        <v>586</v>
      </c>
      <c r="E72" s="301">
        <v>0.68</v>
      </c>
      <c r="F72" s="301" t="s">
        <v>676</v>
      </c>
      <c r="G72" s="301">
        <v>4</v>
      </c>
      <c r="H72" s="301">
        <v>586</v>
      </c>
      <c r="I72" s="301">
        <v>0.68</v>
      </c>
      <c r="J72" s="301" t="s">
        <v>676</v>
      </c>
    </row>
    <row r="73" spans="1:10" x14ac:dyDescent="0.3">
      <c r="B73" s="12">
        <v>60</v>
      </c>
      <c r="C73" s="300">
        <v>17</v>
      </c>
      <c r="D73" s="300">
        <v>586</v>
      </c>
      <c r="E73" s="300">
        <v>2.9</v>
      </c>
      <c r="F73" s="300" t="s">
        <v>670</v>
      </c>
      <c r="G73" s="300">
        <v>17</v>
      </c>
      <c r="H73" s="300">
        <v>586</v>
      </c>
      <c r="I73" s="300">
        <v>2.9</v>
      </c>
      <c r="J73" s="300" t="s">
        <v>670</v>
      </c>
    </row>
    <row r="74" spans="1:10" x14ac:dyDescent="0.3">
      <c r="B74" s="12">
        <v>54</v>
      </c>
      <c r="C74" s="18">
        <v>55</v>
      </c>
      <c r="D74" s="18">
        <v>586</v>
      </c>
      <c r="E74" s="18">
        <v>9.39</v>
      </c>
      <c r="F74" s="18" t="s">
        <v>672</v>
      </c>
      <c r="G74" s="18">
        <v>55</v>
      </c>
      <c r="H74" s="18">
        <v>586</v>
      </c>
      <c r="I74" s="18">
        <v>9.39</v>
      </c>
      <c r="J74" s="18" t="s">
        <v>672</v>
      </c>
    </row>
    <row r="75" spans="1:10" x14ac:dyDescent="0.3">
      <c r="B75" s="12">
        <v>48</v>
      </c>
      <c r="C75" s="14">
        <v>187</v>
      </c>
      <c r="D75" s="14">
        <v>586</v>
      </c>
      <c r="E75" s="14">
        <v>31.91</v>
      </c>
      <c r="F75" s="14" t="s">
        <v>674</v>
      </c>
      <c r="G75" s="14">
        <v>187</v>
      </c>
      <c r="H75" s="14">
        <v>586</v>
      </c>
      <c r="I75" s="14">
        <v>31.91</v>
      </c>
      <c r="J75" s="14" t="s">
        <v>674</v>
      </c>
    </row>
    <row r="76" spans="1:10" x14ac:dyDescent="0.3">
      <c r="B76" s="12">
        <v>42</v>
      </c>
      <c r="C76" s="75">
        <v>376</v>
      </c>
      <c r="D76" s="75">
        <v>586</v>
      </c>
      <c r="E76" s="75">
        <v>64.16</v>
      </c>
      <c r="F76" s="75" t="s">
        <v>677</v>
      </c>
      <c r="G76" s="75">
        <v>376</v>
      </c>
      <c r="H76" s="75">
        <v>586</v>
      </c>
      <c r="I76" s="75">
        <v>64.16</v>
      </c>
      <c r="J76" s="75" t="s">
        <v>677</v>
      </c>
    </row>
    <row r="77" spans="1:10" x14ac:dyDescent="0.3">
      <c r="B77" s="12">
        <v>36</v>
      </c>
      <c r="C77" s="18">
        <v>524</v>
      </c>
      <c r="D77" s="18">
        <v>586</v>
      </c>
      <c r="E77" s="18">
        <v>89.42</v>
      </c>
      <c r="F77" s="18" t="s">
        <v>677</v>
      </c>
      <c r="G77" s="18">
        <v>524</v>
      </c>
      <c r="H77" s="18">
        <v>586</v>
      </c>
      <c r="I77" s="18">
        <v>89.42</v>
      </c>
      <c r="J77" s="18" t="s">
        <v>677</v>
      </c>
    </row>
    <row r="78" spans="1:10" x14ac:dyDescent="0.3">
      <c r="B78" s="12">
        <v>30</v>
      </c>
      <c r="C78" s="78">
        <v>571</v>
      </c>
      <c r="D78" s="78">
        <v>586</v>
      </c>
      <c r="E78" s="78">
        <v>97.44</v>
      </c>
      <c r="F78" s="78" t="s">
        <v>677</v>
      </c>
      <c r="G78" s="78">
        <v>571</v>
      </c>
      <c r="H78" s="78">
        <v>586</v>
      </c>
      <c r="I78" s="78">
        <v>97.44</v>
      </c>
      <c r="J78" s="78" t="s">
        <v>677</v>
      </c>
    </row>
    <row r="79" spans="1:10" x14ac:dyDescent="0.3">
      <c r="B79" s="12">
        <v>24</v>
      </c>
      <c r="C79" s="14">
        <v>581</v>
      </c>
      <c r="D79" s="14">
        <v>586</v>
      </c>
      <c r="E79" s="14">
        <v>99.15</v>
      </c>
      <c r="F79" s="14" t="s">
        <v>677</v>
      </c>
      <c r="G79" s="14">
        <v>581</v>
      </c>
      <c r="H79" s="14">
        <v>586</v>
      </c>
      <c r="I79" s="14">
        <v>99.15</v>
      </c>
      <c r="J79" s="14" t="s">
        <v>677</v>
      </c>
    </row>
    <row r="80" spans="1:10" x14ac:dyDescent="0.3">
      <c r="B80" s="12">
        <v>18</v>
      </c>
      <c r="C80" s="35">
        <v>585</v>
      </c>
      <c r="D80" s="35">
        <v>586</v>
      </c>
      <c r="E80" s="35">
        <v>99.83</v>
      </c>
      <c r="F80" s="35" t="s">
        <v>677</v>
      </c>
      <c r="G80" s="12">
        <v>585</v>
      </c>
      <c r="H80" s="12">
        <v>586</v>
      </c>
      <c r="I80" s="12">
        <v>99.83</v>
      </c>
      <c r="J80" s="12" t="s">
        <v>677</v>
      </c>
    </row>
    <row r="81" spans="1:10" x14ac:dyDescent="0.3">
      <c r="B81" s="12">
        <v>12</v>
      </c>
      <c r="C81" s="35">
        <v>586</v>
      </c>
      <c r="D81" s="35">
        <v>586</v>
      </c>
      <c r="E81" s="35">
        <v>100</v>
      </c>
      <c r="F81" s="35" t="s">
        <v>677</v>
      </c>
      <c r="G81" s="12">
        <v>586</v>
      </c>
      <c r="H81" s="12">
        <v>586</v>
      </c>
      <c r="I81" s="12">
        <v>100</v>
      </c>
      <c r="J81" s="12" t="s">
        <v>677</v>
      </c>
    </row>
    <row r="82" spans="1:10" x14ac:dyDescent="0.3">
      <c r="B82" s="12">
        <v>6</v>
      </c>
      <c r="C82" s="35">
        <v>586</v>
      </c>
      <c r="D82" s="35">
        <v>586</v>
      </c>
      <c r="E82" s="35">
        <v>100</v>
      </c>
      <c r="F82" s="35" t="s">
        <v>677</v>
      </c>
      <c r="G82" s="12">
        <v>586</v>
      </c>
      <c r="H82" s="12">
        <v>586</v>
      </c>
      <c r="I82" s="12">
        <v>100</v>
      </c>
      <c r="J82" s="12" t="s">
        <v>677</v>
      </c>
    </row>
    <row r="83" spans="1:10" x14ac:dyDescent="0.3">
      <c r="B83" s="12">
        <v>0</v>
      </c>
      <c r="C83" s="35">
        <v>586</v>
      </c>
      <c r="D83" s="35">
        <v>586</v>
      </c>
      <c r="E83" s="35">
        <v>100</v>
      </c>
      <c r="F83" s="35" t="s">
        <v>677</v>
      </c>
      <c r="G83" s="12">
        <v>586</v>
      </c>
      <c r="H83" s="12">
        <v>586</v>
      </c>
      <c r="I83" s="12">
        <v>100</v>
      </c>
      <c r="J83" s="12" t="s">
        <v>677</v>
      </c>
    </row>
    <row r="84" spans="1:10" x14ac:dyDescent="0.3">
      <c r="B84" s="12">
        <v>-6</v>
      </c>
      <c r="C84" s="35">
        <v>586</v>
      </c>
      <c r="D84" s="35">
        <v>586</v>
      </c>
      <c r="E84" s="35">
        <v>100</v>
      </c>
      <c r="F84" s="35" t="s">
        <v>677</v>
      </c>
      <c r="G84" s="12">
        <v>586</v>
      </c>
      <c r="H84" s="12">
        <v>586</v>
      </c>
      <c r="I84" s="12">
        <v>100</v>
      </c>
      <c r="J84" s="12" t="s">
        <v>677</v>
      </c>
    </row>
    <row r="85" spans="1:10" x14ac:dyDescent="0.3">
      <c r="B85" s="12">
        <v>-12</v>
      </c>
      <c r="C85" s="35">
        <v>586</v>
      </c>
      <c r="D85" s="35">
        <v>586</v>
      </c>
      <c r="E85" s="35">
        <v>100</v>
      </c>
      <c r="F85" s="35" t="s">
        <v>677</v>
      </c>
      <c r="G85" s="12">
        <v>586</v>
      </c>
      <c r="H85" s="12">
        <v>586</v>
      </c>
      <c r="I85" s="12">
        <v>100</v>
      </c>
      <c r="J85" s="12" t="s">
        <v>677</v>
      </c>
    </row>
    <row r="86" spans="1:10" x14ac:dyDescent="0.3">
      <c r="A86" s="12" t="s">
        <v>682</v>
      </c>
      <c r="B86" s="12">
        <v>59</v>
      </c>
      <c r="C86" s="299">
        <v>5</v>
      </c>
      <c r="D86" s="299">
        <v>598</v>
      </c>
      <c r="E86" s="299">
        <v>0.84</v>
      </c>
      <c r="F86" s="299" t="s">
        <v>669</v>
      </c>
      <c r="G86" s="299">
        <v>5</v>
      </c>
      <c r="H86" s="299">
        <v>598</v>
      </c>
      <c r="I86" s="299">
        <v>0.84</v>
      </c>
      <c r="J86" s="299" t="s">
        <v>669</v>
      </c>
    </row>
    <row r="87" spans="1:10" x14ac:dyDescent="0.3">
      <c r="B87" s="12">
        <v>60</v>
      </c>
      <c r="C87" s="299">
        <v>9</v>
      </c>
      <c r="D87" s="299">
        <v>598</v>
      </c>
      <c r="E87" s="299">
        <v>1.51</v>
      </c>
      <c r="F87" s="299" t="s">
        <v>669</v>
      </c>
      <c r="G87" s="299">
        <v>9</v>
      </c>
      <c r="H87" s="299">
        <v>598</v>
      </c>
      <c r="I87" s="299">
        <v>1.51</v>
      </c>
      <c r="J87" s="299" t="s">
        <v>669</v>
      </c>
    </row>
    <row r="88" spans="1:10" x14ac:dyDescent="0.3">
      <c r="B88" s="12">
        <v>61</v>
      </c>
      <c r="C88" s="300">
        <v>12</v>
      </c>
      <c r="D88" s="300">
        <v>598</v>
      </c>
      <c r="E88" s="300">
        <v>2.0099999999999998</v>
      </c>
      <c r="F88" s="300" t="s">
        <v>670</v>
      </c>
      <c r="G88" s="300">
        <v>12</v>
      </c>
      <c r="H88" s="300">
        <v>598</v>
      </c>
      <c r="I88" s="300">
        <v>2.0099999999999998</v>
      </c>
      <c r="J88" s="300" t="s">
        <v>670</v>
      </c>
    </row>
    <row r="89" spans="1:10" x14ac:dyDescent="0.3">
      <c r="B89" s="12">
        <v>62</v>
      </c>
      <c r="C89" s="75">
        <v>20</v>
      </c>
      <c r="D89" s="75">
        <v>598</v>
      </c>
      <c r="E89" s="75">
        <v>3.34</v>
      </c>
      <c r="F89" s="75" t="s">
        <v>671</v>
      </c>
      <c r="G89" s="75">
        <v>20</v>
      </c>
      <c r="H89" s="75">
        <v>598</v>
      </c>
      <c r="I89" s="75">
        <v>3.34</v>
      </c>
      <c r="J89" s="75" t="s">
        <v>671</v>
      </c>
    </row>
    <row r="90" spans="1:10" x14ac:dyDescent="0.3">
      <c r="B90" s="12">
        <v>63</v>
      </c>
      <c r="C90" s="75">
        <v>33</v>
      </c>
      <c r="D90" s="75">
        <v>598</v>
      </c>
      <c r="E90" s="75">
        <v>5.52</v>
      </c>
      <c r="F90" s="75" t="s">
        <v>671</v>
      </c>
      <c r="G90" s="75">
        <v>33</v>
      </c>
      <c r="H90" s="75">
        <v>598</v>
      </c>
      <c r="I90" s="75">
        <v>5.52</v>
      </c>
      <c r="J90" s="75" t="s">
        <v>671</v>
      </c>
    </row>
    <row r="91" spans="1:10" x14ac:dyDescent="0.3">
      <c r="B91" s="12">
        <v>64</v>
      </c>
      <c r="C91" s="18">
        <v>46</v>
      </c>
      <c r="D91" s="18">
        <v>598</v>
      </c>
      <c r="E91" s="18">
        <v>7.69</v>
      </c>
      <c r="F91" s="18" t="s">
        <v>672</v>
      </c>
      <c r="G91" s="18">
        <v>46</v>
      </c>
      <c r="H91" s="18">
        <v>598</v>
      </c>
      <c r="I91" s="18">
        <v>7.69</v>
      </c>
      <c r="J91" s="18" t="s">
        <v>672</v>
      </c>
    </row>
    <row r="92" spans="1:10" x14ac:dyDescent="0.3">
      <c r="B92" s="12">
        <v>65</v>
      </c>
      <c r="C92" s="18">
        <v>64</v>
      </c>
      <c r="D92" s="18">
        <v>598</v>
      </c>
      <c r="E92" s="18">
        <v>10.7</v>
      </c>
      <c r="F92" s="18" t="s">
        <v>672</v>
      </c>
      <c r="G92" s="18">
        <v>64</v>
      </c>
      <c r="H92" s="18">
        <v>598</v>
      </c>
      <c r="I92" s="18">
        <v>10.7</v>
      </c>
      <c r="J92" s="18" t="s">
        <v>672</v>
      </c>
    </row>
    <row r="93" spans="1:10" x14ac:dyDescent="0.3">
      <c r="B93" s="12">
        <v>66</v>
      </c>
      <c r="C93" s="78">
        <v>92</v>
      </c>
      <c r="D93" s="78">
        <v>598</v>
      </c>
      <c r="E93" s="78">
        <v>15.38</v>
      </c>
      <c r="F93" s="78" t="s">
        <v>673</v>
      </c>
      <c r="G93" s="78">
        <v>92</v>
      </c>
      <c r="H93" s="78">
        <v>598</v>
      </c>
      <c r="I93" s="78">
        <v>15.38</v>
      </c>
      <c r="J93" s="78" t="s">
        <v>673</v>
      </c>
    </row>
    <row r="94" spans="1:10" x14ac:dyDescent="0.3">
      <c r="B94" s="12">
        <v>67</v>
      </c>
      <c r="C94" s="78">
        <v>112</v>
      </c>
      <c r="D94" s="78">
        <v>598</v>
      </c>
      <c r="E94" s="78">
        <v>18.73</v>
      </c>
      <c r="F94" s="78" t="s">
        <v>673</v>
      </c>
      <c r="G94" s="78">
        <v>112</v>
      </c>
      <c r="H94" s="78">
        <v>598</v>
      </c>
      <c r="I94" s="78">
        <v>18.73</v>
      </c>
      <c r="J94" s="78" t="s">
        <v>673</v>
      </c>
    </row>
    <row r="95" spans="1:10" x14ac:dyDescent="0.3">
      <c r="B95" s="12">
        <v>68</v>
      </c>
      <c r="C95" s="78">
        <v>139</v>
      </c>
      <c r="D95" s="78">
        <v>598</v>
      </c>
      <c r="E95" s="78">
        <v>23.24</v>
      </c>
      <c r="F95" s="78" t="s">
        <v>673</v>
      </c>
      <c r="G95" s="78">
        <v>139</v>
      </c>
      <c r="H95" s="78">
        <v>598</v>
      </c>
      <c r="I95" s="78">
        <v>23.24</v>
      </c>
      <c r="J95" s="78" t="s">
        <v>673</v>
      </c>
    </row>
    <row r="96" spans="1:10" x14ac:dyDescent="0.3">
      <c r="B96" s="12">
        <v>69</v>
      </c>
      <c r="C96" s="14">
        <v>177</v>
      </c>
      <c r="D96" s="14">
        <v>598</v>
      </c>
      <c r="E96" s="14">
        <v>29.6</v>
      </c>
      <c r="F96" s="14" t="s">
        <v>674</v>
      </c>
      <c r="G96" s="14">
        <v>177</v>
      </c>
      <c r="H96" s="14">
        <v>598</v>
      </c>
      <c r="I96" s="14">
        <v>29.6</v>
      </c>
      <c r="J96" s="14" t="s">
        <v>674</v>
      </c>
    </row>
    <row r="97" spans="1:10" x14ac:dyDescent="0.3">
      <c r="B97" s="12">
        <v>70</v>
      </c>
      <c r="C97" s="14">
        <v>227</v>
      </c>
      <c r="D97" s="14">
        <v>598</v>
      </c>
      <c r="E97" s="14">
        <v>37.96</v>
      </c>
      <c r="F97" s="14" t="s">
        <v>674</v>
      </c>
      <c r="G97" s="14">
        <v>227</v>
      </c>
      <c r="H97" s="14">
        <v>598</v>
      </c>
      <c r="I97" s="14">
        <v>37.96</v>
      </c>
      <c r="J97" s="14" t="s">
        <v>674</v>
      </c>
    </row>
    <row r="98" spans="1:10" x14ac:dyDescent="0.3">
      <c r="B98" s="12">
        <v>71</v>
      </c>
      <c r="C98" s="14">
        <v>255</v>
      </c>
      <c r="D98" s="14">
        <v>598</v>
      </c>
      <c r="E98" s="14">
        <v>42.64</v>
      </c>
      <c r="F98" s="14" t="s">
        <v>674</v>
      </c>
      <c r="G98" s="14">
        <v>255</v>
      </c>
      <c r="H98" s="14">
        <v>598</v>
      </c>
      <c r="I98" s="14">
        <v>42.64</v>
      </c>
      <c r="J98" s="14" t="s">
        <v>674</v>
      </c>
    </row>
    <row r="99" spans="1:10" x14ac:dyDescent="0.3">
      <c r="B99" s="12">
        <v>72</v>
      </c>
      <c r="C99" s="14">
        <v>290</v>
      </c>
      <c r="D99" s="14">
        <v>598</v>
      </c>
      <c r="E99" s="14">
        <v>48.49</v>
      </c>
      <c r="F99" s="14" t="s">
        <v>674</v>
      </c>
      <c r="G99" s="14">
        <v>290</v>
      </c>
      <c r="H99" s="14">
        <v>598</v>
      </c>
      <c r="I99" s="14">
        <v>48.49</v>
      </c>
      <c r="J99" s="14" t="s">
        <v>674</v>
      </c>
    </row>
    <row r="100" spans="1:10" x14ac:dyDescent="0.3">
      <c r="A100" s="12" t="s">
        <v>683</v>
      </c>
      <c r="B100" s="12">
        <v>2.9000000000000004</v>
      </c>
      <c r="C100" s="301">
        <v>3</v>
      </c>
      <c r="D100" s="301">
        <v>598</v>
      </c>
      <c r="E100" s="301">
        <v>0.5</v>
      </c>
      <c r="F100" s="301" t="s">
        <v>676</v>
      </c>
      <c r="G100" s="301">
        <v>3</v>
      </c>
      <c r="H100" s="301">
        <v>598</v>
      </c>
      <c r="I100" s="301">
        <v>0.5</v>
      </c>
      <c r="J100" s="301" t="s">
        <v>676</v>
      </c>
    </row>
    <row r="101" spans="1:10" x14ac:dyDescent="0.3">
      <c r="B101" s="12">
        <v>2.8000000000000003</v>
      </c>
      <c r="C101" s="300">
        <v>10</v>
      </c>
      <c r="D101" s="300">
        <v>598</v>
      </c>
      <c r="E101" s="300">
        <v>1.67</v>
      </c>
      <c r="F101" s="300" t="s">
        <v>670</v>
      </c>
      <c r="G101" s="300">
        <v>10</v>
      </c>
      <c r="H101" s="300">
        <v>598</v>
      </c>
      <c r="I101" s="300">
        <v>1.67</v>
      </c>
      <c r="J101" s="300" t="s">
        <v>670</v>
      </c>
    </row>
    <row r="102" spans="1:10" x14ac:dyDescent="0.3">
      <c r="B102" s="12">
        <v>2.7</v>
      </c>
      <c r="C102" s="75">
        <v>27</v>
      </c>
      <c r="D102" s="75">
        <v>598</v>
      </c>
      <c r="E102" s="75">
        <v>4.5199999999999996</v>
      </c>
      <c r="F102" s="75" t="s">
        <v>671</v>
      </c>
      <c r="G102" s="75">
        <v>27</v>
      </c>
      <c r="H102" s="75">
        <v>598</v>
      </c>
      <c r="I102" s="75">
        <v>4.5199999999999996</v>
      </c>
      <c r="J102" s="75" t="s">
        <v>671</v>
      </c>
    </row>
    <row r="103" spans="1:10" x14ac:dyDescent="0.3">
      <c r="B103" s="12">
        <v>2.6</v>
      </c>
      <c r="C103" s="78">
        <v>95</v>
      </c>
      <c r="D103" s="78">
        <v>598</v>
      </c>
      <c r="E103" s="78">
        <v>15.89</v>
      </c>
      <c r="F103" s="78" t="s">
        <v>673</v>
      </c>
      <c r="G103" s="78">
        <v>95</v>
      </c>
      <c r="H103" s="78">
        <v>598</v>
      </c>
      <c r="I103" s="78">
        <v>15.89</v>
      </c>
      <c r="J103" s="78" t="s">
        <v>673</v>
      </c>
    </row>
    <row r="104" spans="1:10" x14ac:dyDescent="0.3">
      <c r="B104" s="12">
        <v>2.5</v>
      </c>
      <c r="C104" s="14">
        <v>180</v>
      </c>
      <c r="D104" s="14">
        <v>598</v>
      </c>
      <c r="E104" s="14">
        <v>30.1</v>
      </c>
      <c r="F104" s="14" t="s">
        <v>674</v>
      </c>
      <c r="G104" s="14">
        <v>180</v>
      </c>
      <c r="H104" s="14">
        <v>598</v>
      </c>
      <c r="I104" s="14">
        <v>30.1</v>
      </c>
      <c r="J104" s="14" t="s">
        <v>674</v>
      </c>
    </row>
    <row r="105" spans="1:10" x14ac:dyDescent="0.3">
      <c r="B105" s="12">
        <v>2.4000000000000004</v>
      </c>
      <c r="C105" s="14">
        <v>264</v>
      </c>
      <c r="D105" s="14">
        <v>598</v>
      </c>
      <c r="E105" s="14">
        <v>44.15</v>
      </c>
      <c r="F105" s="14" t="s">
        <v>674</v>
      </c>
      <c r="G105" s="14">
        <v>264</v>
      </c>
      <c r="H105" s="14">
        <v>598</v>
      </c>
      <c r="I105" s="14">
        <v>44.15</v>
      </c>
      <c r="J105" s="14" t="s">
        <v>674</v>
      </c>
    </row>
    <row r="106" spans="1:10" x14ac:dyDescent="0.3">
      <c r="B106" s="12">
        <v>2.3000000000000003</v>
      </c>
      <c r="C106" s="300">
        <v>375</v>
      </c>
      <c r="D106" s="300">
        <v>598</v>
      </c>
      <c r="E106" s="300">
        <v>62.71</v>
      </c>
      <c r="F106" s="300" t="s">
        <v>677</v>
      </c>
      <c r="G106" s="300">
        <v>375</v>
      </c>
      <c r="H106" s="300">
        <v>598</v>
      </c>
      <c r="I106" s="300">
        <v>62.71</v>
      </c>
      <c r="J106" s="300" t="s">
        <v>677</v>
      </c>
    </row>
    <row r="107" spans="1:10" x14ac:dyDescent="0.3">
      <c r="B107" s="12">
        <v>2.2000000000000002</v>
      </c>
      <c r="C107" s="75">
        <v>458</v>
      </c>
      <c r="D107" s="75">
        <v>598</v>
      </c>
      <c r="E107" s="75">
        <v>76.59</v>
      </c>
      <c r="F107" s="75" t="s">
        <v>677</v>
      </c>
      <c r="G107" s="75">
        <v>458</v>
      </c>
      <c r="H107" s="75">
        <v>598</v>
      </c>
      <c r="I107" s="75">
        <v>76.59</v>
      </c>
      <c r="J107" s="75" t="s">
        <v>677</v>
      </c>
    </row>
    <row r="108" spans="1:10" x14ac:dyDescent="0.3">
      <c r="B108" s="12">
        <v>2.1</v>
      </c>
      <c r="C108" s="18">
        <v>534</v>
      </c>
      <c r="D108" s="18">
        <v>598</v>
      </c>
      <c r="E108" s="18">
        <v>89.3</v>
      </c>
      <c r="F108" s="18" t="s">
        <v>677</v>
      </c>
      <c r="G108" s="18">
        <v>534</v>
      </c>
      <c r="H108" s="18">
        <v>598</v>
      </c>
      <c r="I108" s="18">
        <v>89.3</v>
      </c>
      <c r="J108" s="18" t="s">
        <v>677</v>
      </c>
    </row>
    <row r="109" spans="1:10" x14ac:dyDescent="0.3">
      <c r="B109" s="12">
        <v>2</v>
      </c>
      <c r="C109" s="78">
        <v>577</v>
      </c>
      <c r="D109" s="78">
        <v>598</v>
      </c>
      <c r="E109" s="78">
        <v>96.49</v>
      </c>
      <c r="F109" s="78" t="s">
        <v>677</v>
      </c>
      <c r="G109" s="78">
        <v>577</v>
      </c>
      <c r="H109" s="78">
        <v>598</v>
      </c>
      <c r="I109" s="78">
        <v>96.49</v>
      </c>
      <c r="J109" s="78" t="s">
        <v>677</v>
      </c>
    </row>
    <row r="110" spans="1:10" x14ac:dyDescent="0.3">
      <c r="B110" s="12">
        <v>1.9000000000000001</v>
      </c>
      <c r="C110" s="78">
        <v>592</v>
      </c>
      <c r="D110" s="78">
        <v>598</v>
      </c>
      <c r="E110" s="78">
        <v>99</v>
      </c>
      <c r="F110" s="78" t="s">
        <v>677</v>
      </c>
      <c r="G110" s="78">
        <v>592</v>
      </c>
      <c r="H110" s="78">
        <v>598</v>
      </c>
      <c r="I110" s="78">
        <v>99</v>
      </c>
      <c r="J110" s="78" t="s">
        <v>677</v>
      </c>
    </row>
    <row r="111" spans="1:10" x14ac:dyDescent="0.3">
      <c r="B111" s="12">
        <v>1.8</v>
      </c>
      <c r="C111" s="14">
        <v>593</v>
      </c>
      <c r="D111" s="14">
        <v>598</v>
      </c>
      <c r="E111" s="14">
        <v>99.16</v>
      </c>
      <c r="F111" s="14" t="s">
        <v>677</v>
      </c>
      <c r="G111" s="14">
        <v>593</v>
      </c>
      <c r="H111" s="14">
        <v>598</v>
      </c>
      <c r="I111" s="14">
        <v>99.16</v>
      </c>
      <c r="J111" s="14" t="s">
        <v>677</v>
      </c>
    </row>
    <row r="112" spans="1:10" x14ac:dyDescent="0.3">
      <c r="B112" s="12">
        <v>1.7000000000000002</v>
      </c>
      <c r="C112" s="14">
        <v>597</v>
      </c>
      <c r="D112" s="14">
        <v>598</v>
      </c>
      <c r="E112" s="14">
        <v>99.83</v>
      </c>
      <c r="F112" s="14" t="s">
        <v>677</v>
      </c>
      <c r="G112" s="14">
        <v>597</v>
      </c>
      <c r="H112" s="14">
        <v>598</v>
      </c>
      <c r="I112" s="14">
        <v>99.83</v>
      </c>
      <c r="J112" s="14" t="s">
        <v>677</v>
      </c>
    </row>
    <row r="113" spans="1:10" x14ac:dyDescent="0.3">
      <c r="B113" s="12">
        <v>1.6</v>
      </c>
      <c r="C113" s="35">
        <v>597</v>
      </c>
      <c r="D113" s="35">
        <v>598</v>
      </c>
      <c r="E113" s="35">
        <v>99.83</v>
      </c>
      <c r="F113" s="35" t="s">
        <v>677</v>
      </c>
      <c r="G113" s="12">
        <v>597</v>
      </c>
      <c r="H113" s="12">
        <v>598</v>
      </c>
      <c r="I113" s="12">
        <v>99.83</v>
      </c>
      <c r="J113" s="12" t="s">
        <v>677</v>
      </c>
    </row>
    <row r="114" spans="1:10" x14ac:dyDescent="0.3">
      <c r="A114" s="12" t="s">
        <v>684</v>
      </c>
      <c r="B114" s="12">
        <v>68</v>
      </c>
      <c r="C114" s="301">
        <v>4</v>
      </c>
      <c r="D114" s="301">
        <v>598</v>
      </c>
      <c r="E114" s="301">
        <v>0.67</v>
      </c>
      <c r="F114" s="301" t="s">
        <v>676</v>
      </c>
      <c r="G114" s="301">
        <v>4</v>
      </c>
      <c r="H114" s="301">
        <v>598</v>
      </c>
      <c r="I114" s="301">
        <v>0.67</v>
      </c>
      <c r="J114" s="301" t="s">
        <v>676</v>
      </c>
    </row>
    <row r="115" spans="1:10" x14ac:dyDescent="0.3">
      <c r="B115" s="12">
        <v>64</v>
      </c>
      <c r="C115" s="300">
        <v>15</v>
      </c>
      <c r="D115" s="300">
        <v>598</v>
      </c>
      <c r="E115" s="300">
        <v>2.5099999999999998</v>
      </c>
      <c r="F115" s="300" t="s">
        <v>670</v>
      </c>
      <c r="G115" s="300">
        <v>15</v>
      </c>
      <c r="H115" s="300">
        <v>598</v>
      </c>
      <c r="I115" s="300">
        <v>2.5099999999999998</v>
      </c>
      <c r="J115" s="300" t="s">
        <v>670</v>
      </c>
    </row>
    <row r="116" spans="1:10" x14ac:dyDescent="0.3">
      <c r="B116" s="12">
        <v>60</v>
      </c>
      <c r="C116" s="18">
        <v>45</v>
      </c>
      <c r="D116" s="18">
        <v>598</v>
      </c>
      <c r="E116" s="18">
        <v>7.53</v>
      </c>
      <c r="F116" s="18" t="s">
        <v>672</v>
      </c>
      <c r="G116" s="18">
        <v>45</v>
      </c>
      <c r="H116" s="18">
        <v>598</v>
      </c>
      <c r="I116" s="18">
        <v>7.53</v>
      </c>
      <c r="J116" s="18" t="s">
        <v>672</v>
      </c>
    </row>
    <row r="117" spans="1:10" x14ac:dyDescent="0.3">
      <c r="B117" s="12">
        <v>56</v>
      </c>
      <c r="C117" s="14">
        <v>150</v>
      </c>
      <c r="D117" s="14">
        <v>598</v>
      </c>
      <c r="E117" s="14">
        <v>25.08</v>
      </c>
      <c r="F117" s="14" t="s">
        <v>674</v>
      </c>
      <c r="G117" s="14">
        <v>150</v>
      </c>
      <c r="H117" s="14">
        <v>598</v>
      </c>
      <c r="I117" s="14">
        <v>25.08</v>
      </c>
      <c r="J117" s="14" t="s">
        <v>674</v>
      </c>
    </row>
    <row r="118" spans="1:10" x14ac:dyDescent="0.3">
      <c r="B118" s="12">
        <v>52</v>
      </c>
      <c r="C118" s="14">
        <v>273</v>
      </c>
      <c r="D118" s="14">
        <v>598</v>
      </c>
      <c r="E118" s="14">
        <v>45.65</v>
      </c>
      <c r="F118" s="14" t="s">
        <v>674</v>
      </c>
      <c r="G118" s="14">
        <v>273</v>
      </c>
      <c r="H118" s="14">
        <v>598</v>
      </c>
      <c r="I118" s="14">
        <v>45.65</v>
      </c>
      <c r="J118" s="14" t="s">
        <v>674</v>
      </c>
    </row>
    <row r="119" spans="1:10" x14ac:dyDescent="0.3">
      <c r="B119" s="12">
        <v>48</v>
      </c>
      <c r="C119" s="300">
        <v>424</v>
      </c>
      <c r="D119" s="300">
        <v>598</v>
      </c>
      <c r="E119" s="300">
        <v>70.900000000000006</v>
      </c>
      <c r="F119" s="300" t="s">
        <v>677</v>
      </c>
      <c r="G119" s="300">
        <v>424</v>
      </c>
      <c r="H119" s="300">
        <v>598</v>
      </c>
      <c r="I119" s="300">
        <v>70.900000000000006</v>
      </c>
      <c r="J119" s="300" t="s">
        <v>677</v>
      </c>
    </row>
    <row r="120" spans="1:10" x14ac:dyDescent="0.3">
      <c r="B120" s="12">
        <v>44</v>
      </c>
      <c r="C120" s="75">
        <v>542</v>
      </c>
      <c r="D120" s="75">
        <v>598</v>
      </c>
      <c r="E120" s="75">
        <v>90.64</v>
      </c>
      <c r="F120" s="75" t="s">
        <v>677</v>
      </c>
      <c r="G120" s="75">
        <v>542</v>
      </c>
      <c r="H120" s="75">
        <v>598</v>
      </c>
      <c r="I120" s="75">
        <v>90.64</v>
      </c>
      <c r="J120" s="75" t="s">
        <v>677</v>
      </c>
    </row>
    <row r="121" spans="1:10" x14ac:dyDescent="0.3">
      <c r="B121" s="12">
        <v>40</v>
      </c>
      <c r="C121" s="78">
        <v>587</v>
      </c>
      <c r="D121" s="78">
        <v>598</v>
      </c>
      <c r="E121" s="78">
        <v>98.16</v>
      </c>
      <c r="F121" s="78" t="s">
        <v>677</v>
      </c>
      <c r="G121" s="78">
        <v>587</v>
      </c>
      <c r="H121" s="78">
        <v>598</v>
      </c>
      <c r="I121" s="78">
        <v>98.16</v>
      </c>
      <c r="J121" s="78" t="s">
        <v>677</v>
      </c>
    </row>
    <row r="122" spans="1:10" x14ac:dyDescent="0.3">
      <c r="B122" s="12">
        <v>36</v>
      </c>
      <c r="C122" s="78">
        <v>593</v>
      </c>
      <c r="D122" s="78">
        <v>598</v>
      </c>
      <c r="E122" s="78">
        <v>99.16</v>
      </c>
      <c r="F122" s="78" t="s">
        <v>677</v>
      </c>
      <c r="G122" s="78">
        <v>593</v>
      </c>
      <c r="H122" s="78">
        <v>598</v>
      </c>
      <c r="I122" s="78">
        <v>99.16</v>
      </c>
      <c r="J122" s="78" t="s">
        <v>677</v>
      </c>
    </row>
    <row r="123" spans="1:10" x14ac:dyDescent="0.3">
      <c r="B123" s="12">
        <v>32</v>
      </c>
      <c r="C123" s="14">
        <v>595</v>
      </c>
      <c r="D123" s="14">
        <v>598</v>
      </c>
      <c r="E123" s="14">
        <v>99.5</v>
      </c>
      <c r="F123" s="14" t="s">
        <v>677</v>
      </c>
      <c r="G123" s="14">
        <v>595</v>
      </c>
      <c r="H123" s="14">
        <v>598</v>
      </c>
      <c r="I123" s="14">
        <v>99.5</v>
      </c>
      <c r="J123" s="14" t="s">
        <v>677</v>
      </c>
    </row>
    <row r="124" spans="1:10" x14ac:dyDescent="0.3">
      <c r="B124" s="12">
        <v>28</v>
      </c>
      <c r="C124" s="35">
        <v>597</v>
      </c>
      <c r="D124" s="35">
        <v>598</v>
      </c>
      <c r="E124" s="35">
        <v>99.83</v>
      </c>
      <c r="F124" s="35" t="s">
        <v>677</v>
      </c>
      <c r="G124" s="12">
        <v>597</v>
      </c>
      <c r="H124" s="12">
        <v>598</v>
      </c>
      <c r="I124" s="12">
        <v>99.83</v>
      </c>
      <c r="J124" s="12" t="s">
        <v>677</v>
      </c>
    </row>
    <row r="125" spans="1:10" x14ac:dyDescent="0.3">
      <c r="B125" s="12">
        <v>24</v>
      </c>
      <c r="C125" s="35">
        <v>598</v>
      </c>
      <c r="D125" s="35">
        <v>598</v>
      </c>
      <c r="E125" s="35">
        <v>100</v>
      </c>
      <c r="F125" s="35" t="s">
        <v>677</v>
      </c>
      <c r="G125" s="12">
        <v>598</v>
      </c>
      <c r="H125" s="12">
        <v>598</v>
      </c>
      <c r="I125" s="12">
        <v>100</v>
      </c>
      <c r="J125" s="12" t="s">
        <v>677</v>
      </c>
    </row>
    <row r="126" spans="1:10" x14ac:dyDescent="0.3">
      <c r="B126" s="12">
        <v>20</v>
      </c>
      <c r="C126" s="35">
        <v>598</v>
      </c>
      <c r="D126" s="35">
        <v>598</v>
      </c>
      <c r="E126" s="35">
        <v>100</v>
      </c>
      <c r="F126" s="35" t="s">
        <v>677</v>
      </c>
      <c r="G126" s="12">
        <v>598</v>
      </c>
      <c r="H126" s="12">
        <v>598</v>
      </c>
      <c r="I126" s="12">
        <v>100</v>
      </c>
      <c r="J126" s="12" t="s">
        <v>677</v>
      </c>
    </row>
    <row r="127" spans="1:10" x14ac:dyDescent="0.3">
      <c r="B127" s="12">
        <v>16</v>
      </c>
      <c r="C127" s="35">
        <v>598</v>
      </c>
      <c r="D127" s="35">
        <v>598</v>
      </c>
      <c r="E127" s="35">
        <v>100</v>
      </c>
      <c r="F127" s="35" t="s">
        <v>677</v>
      </c>
      <c r="G127" s="12">
        <v>598</v>
      </c>
      <c r="H127" s="12">
        <v>598</v>
      </c>
      <c r="I127" s="12">
        <v>100</v>
      </c>
      <c r="J127" s="12" t="s">
        <v>677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99"/>
  </sheetPr>
  <dimension ref="A1:AM44"/>
  <sheetViews>
    <sheetView workbookViewId="0">
      <pane ySplit="1" topLeftCell="A29" activePane="bottomLeft" state="frozen"/>
      <selection pane="bottomLeft" activeCell="N6" sqref="N6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4.613281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">
        <v>1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7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154</v>
      </c>
      <c r="M1" s="96" t="s">
        <v>149</v>
      </c>
      <c r="N1" s="14" t="s">
        <v>1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12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154</v>
      </c>
      <c r="Z1" s="96" t="s">
        <v>149</v>
      </c>
      <c r="AA1" s="14" t="s">
        <v>1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12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154</v>
      </c>
      <c r="AM1" s="96" t="s">
        <v>149</v>
      </c>
    </row>
    <row r="2" spans="1:39" x14ac:dyDescent="0.3">
      <c r="A2" s="12">
        <v>1</v>
      </c>
      <c r="B2" s="12" t="s">
        <v>405</v>
      </c>
      <c r="C2" s="2">
        <v>11</v>
      </c>
      <c r="D2" s="2">
        <v>11</v>
      </c>
      <c r="E2" s="2">
        <v>0</v>
      </c>
      <c r="F2" s="79">
        <v>3.17</v>
      </c>
      <c r="G2" s="154">
        <v>3.4700314998626709</v>
      </c>
      <c r="H2" s="154">
        <v>3.4700314998626709</v>
      </c>
      <c r="I2" s="156">
        <v>3.7854888439178467</v>
      </c>
      <c r="J2" s="157">
        <v>55.705028533935547</v>
      </c>
      <c r="K2" s="33">
        <v>11.119873817034701</v>
      </c>
      <c r="L2" s="33">
        <v>35.25</v>
      </c>
      <c r="M2" s="58">
        <v>45810</v>
      </c>
      <c r="N2" s="12">
        <v>1</v>
      </c>
      <c r="O2" s="12" t="s">
        <v>392</v>
      </c>
      <c r="P2" s="2">
        <v>42</v>
      </c>
      <c r="Q2" s="2">
        <v>50</v>
      </c>
      <c r="R2" s="2">
        <v>0</v>
      </c>
      <c r="S2" s="80">
        <v>14.89</v>
      </c>
      <c r="T2" s="160">
        <v>2.8206849098205566</v>
      </c>
      <c r="U2" s="154">
        <v>3.3579583168029785</v>
      </c>
      <c r="V2" s="154">
        <v>3.492276668548584</v>
      </c>
      <c r="W2" s="163">
        <v>68.999076843261719</v>
      </c>
      <c r="X2" s="33">
        <v>10.812625923438549</v>
      </c>
      <c r="Y2" s="33">
        <v>161</v>
      </c>
      <c r="Z2" s="58">
        <v>45801</v>
      </c>
      <c r="AA2" s="12">
        <v>1</v>
      </c>
      <c r="AB2" s="12" t="s">
        <v>393</v>
      </c>
      <c r="AC2" s="2">
        <v>148</v>
      </c>
      <c r="AD2" s="2">
        <v>177</v>
      </c>
      <c r="AE2" s="2">
        <v>0</v>
      </c>
      <c r="AF2" s="15">
        <v>54.74</v>
      </c>
      <c r="AG2" s="164">
        <v>2.7036900520324707</v>
      </c>
      <c r="AH2" s="165">
        <v>3.2334671020507813</v>
      </c>
      <c r="AI2" s="154">
        <v>3.4709534645080566</v>
      </c>
      <c r="AJ2" s="163">
        <v>71.389244079589844</v>
      </c>
      <c r="AK2" s="33">
        <v>8.444464742418706</v>
      </c>
      <c r="AL2" s="33">
        <v>462.25</v>
      </c>
      <c r="AM2" s="58">
        <v>45801</v>
      </c>
    </row>
    <row r="3" spans="1:39" x14ac:dyDescent="0.3">
      <c r="A3" s="12">
        <v>2</v>
      </c>
      <c r="B3" s="12" t="s">
        <v>391</v>
      </c>
      <c r="C3" s="2">
        <v>11</v>
      </c>
      <c r="D3" s="2">
        <v>13</v>
      </c>
      <c r="E3" s="2">
        <v>0</v>
      </c>
      <c r="F3" s="79">
        <v>3.28</v>
      </c>
      <c r="G3" s="154">
        <v>3.3536586761474609</v>
      </c>
      <c r="H3" s="156">
        <v>3.9634146690368652</v>
      </c>
      <c r="I3" s="155">
        <v>4.5731706619262695</v>
      </c>
      <c r="J3" s="157">
        <v>52.566574096679688</v>
      </c>
      <c r="K3" s="33">
        <v>9.7751524390243905</v>
      </c>
      <c r="L3" s="33">
        <v>32.0625</v>
      </c>
      <c r="M3" s="58">
        <v>45762</v>
      </c>
      <c r="N3" s="12">
        <v>2</v>
      </c>
      <c r="O3" s="12" t="s">
        <v>395</v>
      </c>
      <c r="P3" s="2">
        <v>40</v>
      </c>
      <c r="Q3" s="2">
        <v>44</v>
      </c>
      <c r="R3" s="2">
        <v>0</v>
      </c>
      <c r="S3" s="15">
        <v>15.62</v>
      </c>
      <c r="T3" s="164">
        <v>2.5608193874359131</v>
      </c>
      <c r="U3" s="160">
        <v>2.8169014453887939</v>
      </c>
      <c r="V3" s="165">
        <v>3.008962869644165</v>
      </c>
      <c r="W3" s="159">
        <v>60.578323364257813</v>
      </c>
      <c r="X3" s="33">
        <v>8.3266645326504491</v>
      </c>
      <c r="Y3" s="33">
        <v>130.0625</v>
      </c>
      <c r="Z3" s="58">
        <v>45766</v>
      </c>
      <c r="AA3" s="12">
        <v>2</v>
      </c>
      <c r="AB3" s="12" t="s">
        <v>396</v>
      </c>
      <c r="AC3" s="2">
        <v>143</v>
      </c>
      <c r="AD3" s="2">
        <v>174</v>
      </c>
      <c r="AE3" s="2">
        <v>0</v>
      </c>
      <c r="AF3" s="16">
        <v>57.69</v>
      </c>
      <c r="AG3" s="167">
        <v>2.4787659645080566</v>
      </c>
      <c r="AH3" s="165">
        <v>3.0161206722259521</v>
      </c>
      <c r="AI3" s="154">
        <v>3.2761311531066895</v>
      </c>
      <c r="AJ3" s="166">
        <v>63.089107513427734</v>
      </c>
      <c r="AK3" s="33">
        <v>8.5110071069509452</v>
      </c>
      <c r="AL3" s="33">
        <v>491</v>
      </c>
      <c r="AM3" s="58">
        <v>45763</v>
      </c>
    </row>
    <row r="4" spans="1:39" x14ac:dyDescent="0.3">
      <c r="A4" s="12">
        <v>3</v>
      </c>
      <c r="B4" s="12" t="s">
        <v>394</v>
      </c>
      <c r="C4" s="2">
        <v>10</v>
      </c>
      <c r="D4" s="2">
        <v>10</v>
      </c>
      <c r="E4" s="2">
        <v>0</v>
      </c>
      <c r="F4" s="79">
        <v>3.29</v>
      </c>
      <c r="G4" s="165">
        <v>3.0395138263702393</v>
      </c>
      <c r="H4" s="165">
        <v>3.0395138263702393</v>
      </c>
      <c r="I4" s="154">
        <v>3.3434650897979736</v>
      </c>
      <c r="J4" s="158">
        <v>47.541126251220703</v>
      </c>
      <c r="K4" s="33">
        <v>9.4984802431610937</v>
      </c>
      <c r="L4" s="33">
        <v>31.25</v>
      </c>
      <c r="M4" s="58">
        <v>45762</v>
      </c>
      <c r="N4" s="12">
        <v>3</v>
      </c>
      <c r="O4" s="12" t="s">
        <v>398</v>
      </c>
      <c r="P4" s="2">
        <v>35</v>
      </c>
      <c r="Q4" s="2">
        <v>46</v>
      </c>
      <c r="R4" s="2">
        <v>0</v>
      </c>
      <c r="S4" s="81">
        <v>16.43</v>
      </c>
      <c r="T4" s="169">
        <v>2.1302495002746582</v>
      </c>
      <c r="U4" s="160">
        <v>2.7997565269470215</v>
      </c>
      <c r="V4" s="154">
        <v>3.2866706848144531</v>
      </c>
      <c r="W4" s="158">
        <v>48.640628814697266</v>
      </c>
      <c r="X4" s="33">
        <v>8.2927571515520384</v>
      </c>
      <c r="Y4" s="33">
        <v>136.25</v>
      </c>
      <c r="Z4" s="58">
        <v>45712</v>
      </c>
      <c r="AA4" s="12">
        <v>3</v>
      </c>
      <c r="AB4" s="12" t="s">
        <v>399</v>
      </c>
      <c r="AC4" s="2">
        <v>152</v>
      </c>
      <c r="AD4" s="2">
        <v>176</v>
      </c>
      <c r="AE4" s="2">
        <v>0</v>
      </c>
      <c r="AF4" s="16">
        <v>58.2</v>
      </c>
      <c r="AG4" s="164">
        <v>2.6116838455200195</v>
      </c>
      <c r="AH4" s="165">
        <v>3.024055004119873</v>
      </c>
      <c r="AI4" s="165">
        <v>3.1958763599395752</v>
      </c>
      <c r="AJ4" s="166">
        <v>66.063835144042969</v>
      </c>
      <c r="AK4" s="33">
        <v>9.1237113402061851</v>
      </c>
      <c r="AL4" s="33">
        <v>531</v>
      </c>
      <c r="AM4" s="58">
        <v>45779</v>
      </c>
    </row>
    <row r="5" spans="1:39" x14ac:dyDescent="0.3">
      <c r="A5" s="12">
        <v>4</v>
      </c>
      <c r="B5" s="12" t="s">
        <v>397</v>
      </c>
      <c r="C5" s="2">
        <v>13</v>
      </c>
      <c r="D5" s="2">
        <v>13</v>
      </c>
      <c r="E5" s="2">
        <v>0</v>
      </c>
      <c r="F5" s="79">
        <v>3.33</v>
      </c>
      <c r="G5" s="156">
        <v>3.9039039611816406</v>
      </c>
      <c r="H5" s="156">
        <v>3.9039039611816406</v>
      </c>
      <c r="I5" s="95">
        <v>4.2042040824890137</v>
      </c>
      <c r="J5" s="159">
        <v>60.546730041503906</v>
      </c>
      <c r="K5" s="33">
        <v>10.341591591591591</v>
      </c>
      <c r="L5" s="33">
        <v>34.4375</v>
      </c>
      <c r="M5" s="58">
        <v>45807</v>
      </c>
      <c r="N5" s="12">
        <v>4</v>
      </c>
      <c r="O5" s="12" t="s">
        <v>401</v>
      </c>
      <c r="P5" s="2">
        <v>42</v>
      </c>
      <c r="Q5" s="2">
        <v>54</v>
      </c>
      <c r="R5" s="2">
        <v>0</v>
      </c>
      <c r="S5" s="81">
        <v>16.5</v>
      </c>
      <c r="T5" s="164">
        <v>2.5454545021057129</v>
      </c>
      <c r="U5" s="154">
        <v>3.2727272510528564</v>
      </c>
      <c r="V5" s="161">
        <v>3.5151515007019043</v>
      </c>
      <c r="W5" s="159">
        <v>57.948417663574219</v>
      </c>
      <c r="X5" s="33">
        <v>9.75</v>
      </c>
      <c r="Y5" s="33">
        <v>160.875</v>
      </c>
      <c r="Z5" s="58">
        <v>45804</v>
      </c>
      <c r="AA5" s="12">
        <v>4</v>
      </c>
      <c r="AB5" s="12" t="s">
        <v>402</v>
      </c>
      <c r="AC5" s="2">
        <v>147</v>
      </c>
      <c r="AD5" s="2">
        <v>174</v>
      </c>
      <c r="AE5" s="2">
        <v>0</v>
      </c>
      <c r="AF5" s="16">
        <v>58.92</v>
      </c>
      <c r="AG5" s="167">
        <v>2.494908332824707</v>
      </c>
      <c r="AH5" s="160">
        <v>2.9531569480895996</v>
      </c>
      <c r="AI5" s="165">
        <v>3.1907672882080078</v>
      </c>
      <c r="AJ5" s="166">
        <v>62.569110870361328</v>
      </c>
      <c r="AK5" s="33">
        <v>8.0246520706042084</v>
      </c>
      <c r="AL5" s="33">
        <v>472.8125</v>
      </c>
      <c r="AM5" s="58">
        <v>45761</v>
      </c>
    </row>
    <row r="6" spans="1:39" x14ac:dyDescent="0.3">
      <c r="A6" s="12">
        <v>5</v>
      </c>
      <c r="B6" s="12" t="s">
        <v>408</v>
      </c>
      <c r="C6" s="2">
        <v>13</v>
      </c>
      <c r="D6" s="2">
        <v>13</v>
      </c>
      <c r="E6" s="2">
        <v>0</v>
      </c>
      <c r="F6" s="79">
        <v>3.34</v>
      </c>
      <c r="G6" s="156">
        <v>3.8922157287597656</v>
      </c>
      <c r="H6" s="156">
        <v>3.8922157287597656</v>
      </c>
      <c r="I6" s="95">
        <v>4.1916170120239258</v>
      </c>
      <c r="J6" s="159">
        <v>60.238880157470703</v>
      </c>
      <c r="K6" s="33">
        <v>10.179640718562874</v>
      </c>
      <c r="L6" s="33">
        <v>34</v>
      </c>
      <c r="M6" s="58">
        <v>45810</v>
      </c>
      <c r="N6" s="12">
        <v>5</v>
      </c>
      <c r="O6" s="12" t="s">
        <v>403</v>
      </c>
      <c r="P6" s="2">
        <v>38</v>
      </c>
      <c r="Q6" s="2">
        <v>49</v>
      </c>
      <c r="R6" s="2">
        <v>0</v>
      </c>
      <c r="S6" s="81">
        <v>16.78</v>
      </c>
      <c r="T6" s="167">
        <v>2.2646005153656006</v>
      </c>
      <c r="U6" s="160">
        <v>2.9201428890228271</v>
      </c>
      <c r="V6" s="154">
        <v>3.2777113914489746</v>
      </c>
      <c r="W6" s="157">
        <v>50.950946807861328</v>
      </c>
      <c r="X6" s="33">
        <v>11.080899880810488</v>
      </c>
      <c r="Y6" s="33">
        <v>185.9375</v>
      </c>
      <c r="Z6" s="58">
        <v>45776</v>
      </c>
      <c r="AA6" s="12">
        <v>5</v>
      </c>
      <c r="AB6" s="12" t="s">
        <v>404</v>
      </c>
      <c r="AC6" s="2">
        <v>123</v>
      </c>
      <c r="AD6" s="2">
        <v>157</v>
      </c>
      <c r="AE6" s="2">
        <v>0</v>
      </c>
      <c r="AF6" s="16">
        <v>58.97</v>
      </c>
      <c r="AG6" s="169">
        <v>2.0858063697814941</v>
      </c>
      <c r="AH6" s="164">
        <v>2.6623706817626953</v>
      </c>
      <c r="AI6" s="160">
        <v>2.8489062786102295</v>
      </c>
      <c r="AJ6" s="157">
        <v>52.278297424316406</v>
      </c>
      <c r="AK6" s="33">
        <v>8.7618704425979317</v>
      </c>
      <c r="AL6" s="33">
        <v>516.6875</v>
      </c>
      <c r="AM6" s="58">
        <v>45775</v>
      </c>
    </row>
    <row r="7" spans="1:39" x14ac:dyDescent="0.3">
      <c r="A7" s="12">
        <v>6</v>
      </c>
      <c r="B7" s="12" t="s">
        <v>400</v>
      </c>
      <c r="C7" s="2">
        <v>10</v>
      </c>
      <c r="D7" s="2">
        <v>11</v>
      </c>
      <c r="E7" s="2">
        <v>0</v>
      </c>
      <c r="F7" s="79">
        <v>3.42</v>
      </c>
      <c r="G7" s="160">
        <v>2.9239766597747803</v>
      </c>
      <c r="H7" s="165">
        <v>3.2163741588592529</v>
      </c>
      <c r="I7" s="161">
        <v>3.5087718963623047</v>
      </c>
      <c r="J7" s="158">
        <v>44.510051727294922</v>
      </c>
      <c r="K7" s="33">
        <v>8.6988304093567255</v>
      </c>
      <c r="L7" s="33">
        <v>29.75</v>
      </c>
      <c r="M7" s="58">
        <v>45704</v>
      </c>
      <c r="N7" s="12">
        <v>6</v>
      </c>
      <c r="O7" s="12" t="s">
        <v>406</v>
      </c>
      <c r="P7" s="2">
        <v>42</v>
      </c>
      <c r="Q7" s="2">
        <v>56</v>
      </c>
      <c r="R7" s="2">
        <v>0</v>
      </c>
      <c r="S7" s="81">
        <v>16.86</v>
      </c>
      <c r="T7" s="167">
        <v>2.4911031723022461</v>
      </c>
      <c r="U7" s="154">
        <v>3.3214707374572754</v>
      </c>
      <c r="V7" s="154">
        <v>3.4994068145751953</v>
      </c>
      <c r="W7" s="157">
        <v>55.860702514648438</v>
      </c>
      <c r="X7" s="33">
        <v>9.9940688018979831</v>
      </c>
      <c r="Y7" s="33">
        <v>168.5</v>
      </c>
      <c r="Z7" s="58">
        <v>45716</v>
      </c>
      <c r="AA7" s="12">
        <v>6</v>
      </c>
      <c r="AB7" s="12" t="s">
        <v>407</v>
      </c>
      <c r="AC7" s="2">
        <v>128</v>
      </c>
      <c r="AD7" s="2">
        <v>165</v>
      </c>
      <c r="AE7" s="2">
        <v>0</v>
      </c>
      <c r="AF7" s="16">
        <v>59.12</v>
      </c>
      <c r="AG7" s="169">
        <v>2.1650879383087158</v>
      </c>
      <c r="AH7" s="160">
        <v>2.7909338474273682</v>
      </c>
      <c r="AI7" s="160">
        <v>2.9769959449768066</v>
      </c>
      <c r="AJ7" s="157">
        <v>54.168987274169922</v>
      </c>
      <c r="AK7" s="33">
        <v>7.4372039918809207</v>
      </c>
      <c r="AL7" s="33">
        <v>439.6875</v>
      </c>
      <c r="AM7" s="58">
        <v>45750</v>
      </c>
    </row>
    <row r="8" spans="1:39" x14ac:dyDescent="0.3">
      <c r="A8" s="12">
        <v>7</v>
      </c>
      <c r="B8" s="12" t="s">
        <v>400</v>
      </c>
      <c r="C8" s="2">
        <v>10</v>
      </c>
      <c r="D8" s="2">
        <v>13</v>
      </c>
      <c r="E8" s="2">
        <v>0</v>
      </c>
      <c r="F8" s="79">
        <v>3.43</v>
      </c>
      <c r="G8" s="160">
        <v>2.9154517650604248</v>
      </c>
      <c r="H8" s="156">
        <v>3.7900874614715576</v>
      </c>
      <c r="I8" s="95">
        <v>4.0816326141357422</v>
      </c>
      <c r="J8" s="158">
        <v>44.2896728515625</v>
      </c>
      <c r="K8" s="33">
        <v>9.5481049562682205</v>
      </c>
      <c r="L8" s="33">
        <v>32.75</v>
      </c>
      <c r="M8" s="58">
        <v>45763</v>
      </c>
      <c r="N8" s="12">
        <v>7</v>
      </c>
      <c r="O8" s="12" t="s">
        <v>409</v>
      </c>
      <c r="P8" s="2">
        <v>53</v>
      </c>
      <c r="Q8" s="2">
        <v>57</v>
      </c>
      <c r="R8" s="2">
        <v>0</v>
      </c>
      <c r="S8" s="16">
        <v>17.190000000000001</v>
      </c>
      <c r="T8" s="165">
        <v>3.0831878185272217</v>
      </c>
      <c r="U8" s="154">
        <v>3.3158812522888184</v>
      </c>
      <c r="V8" s="161">
        <v>3.548574686050415</v>
      </c>
      <c r="W8" s="166">
        <v>68.205894470214844</v>
      </c>
      <c r="X8" s="33">
        <v>9.4095404304828385</v>
      </c>
      <c r="Y8" s="33">
        <v>161.75</v>
      </c>
      <c r="Z8" s="58">
        <v>45805</v>
      </c>
      <c r="AA8" s="12">
        <v>7</v>
      </c>
      <c r="AB8" s="12" t="s">
        <v>410</v>
      </c>
      <c r="AC8" s="2">
        <v>171</v>
      </c>
      <c r="AD8" s="2">
        <v>193</v>
      </c>
      <c r="AE8" s="2">
        <v>0</v>
      </c>
      <c r="AF8" s="16">
        <v>59.24</v>
      </c>
      <c r="AG8" s="160">
        <v>2.8865630626678467</v>
      </c>
      <c r="AH8" s="154">
        <v>3.2579338550567627</v>
      </c>
      <c r="AI8" s="154">
        <v>3.4098579883575439</v>
      </c>
      <c r="AJ8" s="163">
        <v>72.117347717285156</v>
      </c>
      <c r="AK8" s="33">
        <v>8.2904287643484125</v>
      </c>
      <c r="AL8" s="33">
        <v>491.125</v>
      </c>
      <c r="AM8" s="58">
        <v>45801</v>
      </c>
    </row>
    <row r="9" spans="1:39" x14ac:dyDescent="0.3">
      <c r="A9" s="12">
        <v>8</v>
      </c>
      <c r="B9" s="12" t="s">
        <v>405</v>
      </c>
      <c r="C9" s="2">
        <v>11</v>
      </c>
      <c r="D9" s="2">
        <v>11</v>
      </c>
      <c r="E9" s="2">
        <v>0</v>
      </c>
      <c r="F9" s="79">
        <v>3.45</v>
      </c>
      <c r="G9" s="165">
        <v>3.1884057521820068</v>
      </c>
      <c r="H9" s="165">
        <v>3.1884057521820068</v>
      </c>
      <c r="I9" s="154">
        <v>3.4782607555389404</v>
      </c>
      <c r="J9" s="158">
        <v>48.239490509033203</v>
      </c>
      <c r="K9" s="33">
        <v>9.7644927536231876</v>
      </c>
      <c r="L9" s="33">
        <v>33.6875</v>
      </c>
      <c r="M9" s="58">
        <v>45762</v>
      </c>
      <c r="N9" s="12">
        <v>8</v>
      </c>
      <c r="O9" s="12" t="s">
        <v>406</v>
      </c>
      <c r="P9" s="2">
        <v>49</v>
      </c>
      <c r="Q9" s="2">
        <v>59</v>
      </c>
      <c r="R9" s="2">
        <v>0</v>
      </c>
      <c r="S9" s="16">
        <v>17.489999999999998</v>
      </c>
      <c r="T9" s="160">
        <v>2.8016009330749512</v>
      </c>
      <c r="U9" s="154">
        <v>3.3733563423156738</v>
      </c>
      <c r="V9" s="161">
        <v>3.71640944480896</v>
      </c>
      <c r="W9" s="159">
        <v>61.230587005615234</v>
      </c>
      <c r="X9" s="33">
        <v>8.3047455688965126</v>
      </c>
      <c r="Y9" s="33">
        <v>145.25</v>
      </c>
      <c r="Z9" s="58">
        <v>45761</v>
      </c>
      <c r="AA9" s="12">
        <v>8</v>
      </c>
      <c r="AB9" s="12" t="s">
        <v>411</v>
      </c>
      <c r="AC9" s="2">
        <v>140</v>
      </c>
      <c r="AD9" s="2">
        <v>176</v>
      </c>
      <c r="AE9" s="2">
        <v>0</v>
      </c>
      <c r="AF9" s="16">
        <v>59.44</v>
      </c>
      <c r="AG9" s="167">
        <v>2.3553164005279541</v>
      </c>
      <c r="AH9" s="160">
        <v>2.9609692096710205</v>
      </c>
      <c r="AI9" s="165">
        <v>3.1965007781982422</v>
      </c>
      <c r="AJ9" s="159">
        <v>58.70611572265625</v>
      </c>
      <c r="AK9" s="33">
        <v>8.4633664199192467</v>
      </c>
      <c r="AL9" s="33">
        <v>503.0625</v>
      </c>
      <c r="AM9" s="58">
        <v>45767</v>
      </c>
    </row>
    <row r="10" spans="1:39" x14ac:dyDescent="0.3">
      <c r="A10" s="12">
        <v>9</v>
      </c>
      <c r="B10" s="12" t="s">
        <v>408</v>
      </c>
      <c r="C10" s="2">
        <v>11</v>
      </c>
      <c r="D10" s="2">
        <v>11</v>
      </c>
      <c r="E10" s="2">
        <v>0</v>
      </c>
      <c r="F10" s="79">
        <v>3.47</v>
      </c>
      <c r="G10" s="165">
        <v>3.1700286865234375</v>
      </c>
      <c r="H10" s="165">
        <v>3.1700286865234375</v>
      </c>
      <c r="I10" s="161">
        <v>3.7463977336883545</v>
      </c>
      <c r="J10" s="158">
        <v>47.767780303955078</v>
      </c>
      <c r="K10" s="33">
        <v>7.4207492795389047</v>
      </c>
      <c r="L10" s="33">
        <v>25.75</v>
      </c>
      <c r="M10" s="58">
        <v>45717</v>
      </c>
      <c r="N10" s="12">
        <v>9</v>
      </c>
      <c r="O10" s="12" t="s">
        <v>413</v>
      </c>
      <c r="P10" s="2">
        <v>46</v>
      </c>
      <c r="Q10" s="2">
        <v>58</v>
      </c>
      <c r="R10" s="2">
        <v>0</v>
      </c>
      <c r="S10" s="16">
        <v>17.600000000000001</v>
      </c>
      <c r="T10" s="164">
        <v>2.6136362552642822</v>
      </c>
      <c r="U10" s="154">
        <v>3.2954545021057129</v>
      </c>
      <c r="V10" s="161">
        <v>3.6931817531585693</v>
      </c>
      <c r="W10" s="159">
        <v>56.872367858886719</v>
      </c>
      <c r="X10" s="33">
        <v>8.75</v>
      </c>
      <c r="Y10" s="33">
        <v>154</v>
      </c>
      <c r="Z10" s="58">
        <v>45711</v>
      </c>
      <c r="AA10" s="12">
        <v>9</v>
      </c>
      <c r="AB10" s="12" t="s">
        <v>414</v>
      </c>
      <c r="AC10" s="2">
        <v>158</v>
      </c>
      <c r="AD10" s="2">
        <v>197</v>
      </c>
      <c r="AE10" s="2">
        <v>0</v>
      </c>
      <c r="AF10" s="16">
        <v>59.51</v>
      </c>
      <c r="AG10" s="164">
        <v>2.6550159454345703</v>
      </c>
      <c r="AH10" s="154">
        <v>3.3103680610656738</v>
      </c>
      <c r="AI10" s="154">
        <v>3.4784071445465088</v>
      </c>
      <c r="AJ10" s="166">
        <v>66.121612548828125</v>
      </c>
      <c r="AK10" s="33">
        <v>8.6529574861367848</v>
      </c>
      <c r="AL10" s="33">
        <v>514.9375</v>
      </c>
      <c r="AM10" s="58">
        <v>45809</v>
      </c>
    </row>
    <row r="11" spans="1:39" x14ac:dyDescent="0.3">
      <c r="A11" s="12">
        <v>10</v>
      </c>
      <c r="B11" s="12" t="s">
        <v>397</v>
      </c>
      <c r="C11" s="2">
        <v>11</v>
      </c>
      <c r="D11" s="2">
        <v>11</v>
      </c>
      <c r="E11" s="2">
        <v>0</v>
      </c>
      <c r="F11" s="14">
        <v>3.53</v>
      </c>
      <c r="G11" s="165">
        <v>3.1161472797393799</v>
      </c>
      <c r="H11" s="165">
        <v>3.1161472797393799</v>
      </c>
      <c r="I11" s="156">
        <v>3.966005802154541</v>
      </c>
      <c r="J11" s="158">
        <v>46.395748138427734</v>
      </c>
      <c r="K11" s="33">
        <v>9.5077903682719551</v>
      </c>
      <c r="L11" s="33">
        <v>33.5625</v>
      </c>
      <c r="M11" s="58">
        <v>45765</v>
      </c>
      <c r="N11" s="12">
        <v>10</v>
      </c>
      <c r="O11" s="12" t="s">
        <v>415</v>
      </c>
      <c r="P11" s="2">
        <v>56</v>
      </c>
      <c r="Q11" s="2">
        <v>64</v>
      </c>
      <c r="R11" s="2">
        <v>0</v>
      </c>
      <c r="S11" s="16">
        <v>17.850000000000001</v>
      </c>
      <c r="T11" s="165">
        <v>3.1372549533843994</v>
      </c>
      <c r="U11" s="161">
        <v>3.5854341983795166</v>
      </c>
      <c r="V11" s="156">
        <v>3.8655462265014648</v>
      </c>
      <c r="W11" s="166">
        <v>67.595535278320313</v>
      </c>
      <c r="X11" s="33">
        <v>9.0616246498599438</v>
      </c>
      <c r="Y11" s="33">
        <v>161.75</v>
      </c>
      <c r="Z11" s="58">
        <v>45809</v>
      </c>
      <c r="AA11" s="12">
        <v>10</v>
      </c>
      <c r="AB11" s="12" t="s">
        <v>416</v>
      </c>
      <c r="AC11" s="2">
        <v>137</v>
      </c>
      <c r="AD11" s="2">
        <v>176</v>
      </c>
      <c r="AE11" s="2">
        <v>0</v>
      </c>
      <c r="AF11" s="82">
        <v>60.09</v>
      </c>
      <c r="AG11" s="167">
        <v>2.2799134254455566</v>
      </c>
      <c r="AH11" s="160">
        <v>2.9289398193359375</v>
      </c>
      <c r="AI11" s="165">
        <v>3.178565502166748</v>
      </c>
      <c r="AJ11" s="159">
        <v>56.395709991455078</v>
      </c>
      <c r="AK11" s="33">
        <v>8.5423947412215</v>
      </c>
      <c r="AL11" s="33">
        <v>513.3125</v>
      </c>
      <c r="AM11" s="58">
        <v>45761</v>
      </c>
    </row>
    <row r="12" spans="1:39" x14ac:dyDescent="0.3">
      <c r="A12" s="12">
        <v>11</v>
      </c>
      <c r="B12" s="12" t="s">
        <v>391</v>
      </c>
      <c r="C12" s="2">
        <v>12</v>
      </c>
      <c r="D12" s="2">
        <v>15</v>
      </c>
      <c r="E12" s="2">
        <v>0</v>
      </c>
      <c r="F12" s="14">
        <v>3.54</v>
      </c>
      <c r="G12" s="154">
        <v>3.3898305892944336</v>
      </c>
      <c r="H12" s="95">
        <v>4.2372879981994629</v>
      </c>
      <c r="I12" s="95">
        <v>4.2372879981994629</v>
      </c>
      <c r="J12" s="157">
        <v>50.3707275390625</v>
      </c>
      <c r="K12" s="33">
        <v>9.763418079096045</v>
      </c>
      <c r="L12" s="33">
        <v>34.5625</v>
      </c>
      <c r="M12" s="58">
        <v>45810</v>
      </c>
      <c r="N12" s="12">
        <v>11</v>
      </c>
      <c r="O12" s="12" t="s">
        <v>417</v>
      </c>
      <c r="P12" s="2">
        <v>48</v>
      </c>
      <c r="Q12" s="2">
        <v>54</v>
      </c>
      <c r="R12" s="2">
        <v>0</v>
      </c>
      <c r="S12" s="16">
        <v>17.88</v>
      </c>
      <c r="T12" s="164">
        <v>2.6845638751983643</v>
      </c>
      <c r="U12" s="165">
        <v>3.020134449005127</v>
      </c>
      <c r="V12" s="154">
        <v>3.299776554107666</v>
      </c>
      <c r="W12" s="159">
        <v>57.773876190185547</v>
      </c>
      <c r="X12" s="33">
        <v>9.1338087248322157</v>
      </c>
      <c r="Y12" s="33">
        <v>163.3125</v>
      </c>
      <c r="Z12" s="58">
        <v>45711</v>
      </c>
      <c r="AA12" s="12">
        <v>11</v>
      </c>
      <c r="AB12" s="12" t="s">
        <v>418</v>
      </c>
      <c r="AC12" s="2">
        <v>160</v>
      </c>
      <c r="AD12" s="2">
        <v>191</v>
      </c>
      <c r="AE12" s="2">
        <v>0</v>
      </c>
      <c r="AF12" s="82">
        <v>60.12</v>
      </c>
      <c r="AG12" s="164">
        <v>2.661344051361084</v>
      </c>
      <c r="AH12" s="165">
        <v>3.1769795417785645</v>
      </c>
      <c r="AI12" s="154">
        <v>3.3266799449920654</v>
      </c>
      <c r="AJ12" s="166">
        <v>65.807746887207031</v>
      </c>
      <c r="AK12" s="33">
        <v>8.8687208915502325</v>
      </c>
      <c r="AL12" s="33">
        <v>533.1875</v>
      </c>
      <c r="AM12" s="58">
        <v>45772</v>
      </c>
    </row>
    <row r="13" spans="1:39" x14ac:dyDescent="0.3">
      <c r="A13" s="12">
        <v>12</v>
      </c>
      <c r="B13" s="12" t="s">
        <v>412</v>
      </c>
      <c r="C13" s="2">
        <v>10</v>
      </c>
      <c r="D13" s="2">
        <v>14</v>
      </c>
      <c r="E13" s="2">
        <v>0</v>
      </c>
      <c r="F13" s="14">
        <v>3.56</v>
      </c>
      <c r="G13" s="160">
        <v>2.8089888095855713</v>
      </c>
      <c r="H13" s="156">
        <v>3.932584285736084</v>
      </c>
      <c r="I13" s="162">
        <v>4.4943819046020508</v>
      </c>
      <c r="J13" s="158">
        <v>41.575504302978516</v>
      </c>
      <c r="K13" s="33">
        <v>8.0231741573033712</v>
      </c>
      <c r="L13" s="33">
        <v>28.5625</v>
      </c>
      <c r="M13" s="58">
        <v>45761</v>
      </c>
      <c r="N13" s="12">
        <v>12</v>
      </c>
      <c r="O13" s="12" t="s">
        <v>420</v>
      </c>
      <c r="P13" s="2">
        <v>52</v>
      </c>
      <c r="Q13" s="2">
        <v>61</v>
      </c>
      <c r="R13" s="2">
        <v>0</v>
      </c>
      <c r="S13" s="82">
        <v>18.100000000000001</v>
      </c>
      <c r="T13" s="160">
        <v>2.8729281425476074</v>
      </c>
      <c r="U13" s="154">
        <v>3.3701655864715576</v>
      </c>
      <c r="V13" s="161">
        <v>3.6464087963104248</v>
      </c>
      <c r="W13" s="159">
        <v>61.300605773925781</v>
      </c>
      <c r="X13" s="33">
        <v>9.3957182320441976</v>
      </c>
      <c r="Y13" s="33">
        <v>170.0625</v>
      </c>
      <c r="Z13" s="58">
        <v>45805</v>
      </c>
      <c r="AA13" s="12">
        <v>12</v>
      </c>
      <c r="AB13" s="12" t="s">
        <v>421</v>
      </c>
      <c r="AC13" s="2">
        <v>119</v>
      </c>
      <c r="AD13" s="2">
        <v>166</v>
      </c>
      <c r="AE13" s="2">
        <v>0</v>
      </c>
      <c r="AF13" s="82">
        <v>60.31</v>
      </c>
      <c r="AG13" s="173">
        <v>1.973138689994812</v>
      </c>
      <c r="AH13" s="160">
        <v>2.7524456977844238</v>
      </c>
      <c r="AI13" s="160">
        <v>2.9348366260528564</v>
      </c>
      <c r="AJ13" s="158">
        <v>48.682662963867188</v>
      </c>
      <c r="AK13" s="33">
        <v>8.7682390979936997</v>
      </c>
      <c r="AL13" s="33">
        <v>528.8125</v>
      </c>
      <c r="AM13" s="58">
        <v>45753</v>
      </c>
    </row>
    <row r="14" spans="1:39" x14ac:dyDescent="0.3">
      <c r="A14" s="12">
        <v>13</v>
      </c>
      <c r="B14" s="12" t="s">
        <v>397</v>
      </c>
      <c r="C14" s="2">
        <v>12</v>
      </c>
      <c r="D14" s="2">
        <v>12</v>
      </c>
      <c r="E14" s="2">
        <v>0</v>
      </c>
      <c r="F14" s="14">
        <v>3.56</v>
      </c>
      <c r="G14" s="154">
        <v>3.3707866668701172</v>
      </c>
      <c r="H14" s="154">
        <v>3.3707866668701172</v>
      </c>
      <c r="I14" s="95">
        <v>4.2134833335876465</v>
      </c>
      <c r="J14" s="158">
        <v>49.890602111816406</v>
      </c>
      <c r="K14" s="33">
        <v>7.970505617977528</v>
      </c>
      <c r="L14" s="33">
        <v>28.375</v>
      </c>
      <c r="M14" s="58">
        <v>45762</v>
      </c>
      <c r="N14" s="12">
        <v>13</v>
      </c>
      <c r="O14" s="12" t="s">
        <v>510</v>
      </c>
      <c r="P14" s="2">
        <v>43</v>
      </c>
      <c r="Q14" s="2">
        <v>53</v>
      </c>
      <c r="R14" s="2">
        <v>0</v>
      </c>
      <c r="S14" s="82">
        <v>18.2</v>
      </c>
      <c r="T14" s="167">
        <v>2.3626372814178467</v>
      </c>
      <c r="U14" s="160">
        <v>2.9120876789093018</v>
      </c>
      <c r="V14" s="154">
        <v>3.3516480922698975</v>
      </c>
      <c r="W14" s="157">
        <v>50.218307495117188</v>
      </c>
      <c r="X14" s="33">
        <v>9.6978021978021989</v>
      </c>
      <c r="Y14" s="33">
        <v>176.5</v>
      </c>
      <c r="Z14" s="58">
        <v>45810</v>
      </c>
      <c r="AA14" s="12">
        <v>13</v>
      </c>
      <c r="AB14" s="12" t="s">
        <v>418</v>
      </c>
      <c r="AC14" s="2">
        <v>149</v>
      </c>
      <c r="AD14" s="2">
        <v>185</v>
      </c>
      <c r="AE14" s="2">
        <v>0</v>
      </c>
      <c r="AF14" s="82">
        <v>61.12</v>
      </c>
      <c r="AG14" s="167">
        <v>2.4378273487091064</v>
      </c>
      <c r="AH14" s="165">
        <v>3.0268325805664063</v>
      </c>
      <c r="AI14" s="165">
        <v>3.2231676578521729</v>
      </c>
      <c r="AJ14" s="159">
        <v>59.588691711425781</v>
      </c>
      <c r="AK14" s="33">
        <v>8.8054237565445028</v>
      </c>
      <c r="AL14" s="33">
        <v>538.1875</v>
      </c>
      <c r="AM14" s="58">
        <v>45768</v>
      </c>
    </row>
    <row r="15" spans="1:39" x14ac:dyDescent="0.3">
      <c r="A15" s="12">
        <v>14</v>
      </c>
      <c r="B15" s="12" t="s">
        <v>391</v>
      </c>
      <c r="C15" s="2">
        <v>11</v>
      </c>
      <c r="D15" s="2">
        <v>14</v>
      </c>
      <c r="E15" s="2">
        <v>0</v>
      </c>
      <c r="F15" s="14">
        <v>3.58</v>
      </c>
      <c r="G15" s="165">
        <v>3.0726258754730225</v>
      </c>
      <c r="H15" s="156">
        <v>3.9106144905090332</v>
      </c>
      <c r="I15" s="162">
        <v>4.4692740440368652</v>
      </c>
      <c r="J15" s="158">
        <v>45.299568176269531</v>
      </c>
      <c r="K15" s="33">
        <v>9.6019553072625694</v>
      </c>
      <c r="L15" s="33">
        <v>34.375</v>
      </c>
      <c r="M15" s="58">
        <v>45765</v>
      </c>
      <c r="N15" s="12">
        <v>14</v>
      </c>
      <c r="O15" s="12" t="s">
        <v>422</v>
      </c>
      <c r="P15" s="2">
        <v>49</v>
      </c>
      <c r="Q15" s="2">
        <v>59</v>
      </c>
      <c r="R15" s="2">
        <v>0</v>
      </c>
      <c r="S15" s="82">
        <v>18.2</v>
      </c>
      <c r="T15" s="164">
        <v>2.6923074722290039</v>
      </c>
      <c r="U15" s="165">
        <v>3.2417581081390381</v>
      </c>
      <c r="V15" s="161">
        <v>3.5714285373687744</v>
      </c>
      <c r="W15" s="159">
        <v>57.225513458251953</v>
      </c>
      <c r="X15" s="33">
        <v>9.5913461538461551</v>
      </c>
      <c r="Y15" s="33">
        <v>174.5625</v>
      </c>
      <c r="Z15" s="58">
        <v>45764</v>
      </c>
      <c r="AA15" s="12">
        <v>14</v>
      </c>
      <c r="AB15" s="12" t="s">
        <v>424</v>
      </c>
      <c r="AC15" s="2">
        <v>148</v>
      </c>
      <c r="AD15" s="2">
        <v>189</v>
      </c>
      <c r="AE15" s="2">
        <v>0</v>
      </c>
      <c r="AF15" s="82">
        <v>61.2</v>
      </c>
      <c r="AG15" s="167">
        <v>2.4183006286621094</v>
      </c>
      <c r="AH15" s="165">
        <v>3.0882351398468018</v>
      </c>
      <c r="AI15" s="154">
        <v>3.3660130500793457</v>
      </c>
      <c r="AJ15" s="159">
        <v>59.057296752929688</v>
      </c>
      <c r="AK15" s="33">
        <v>8.2608251633986924</v>
      </c>
      <c r="AL15" s="33">
        <v>505.5625</v>
      </c>
      <c r="AM15" s="58">
        <v>45785</v>
      </c>
    </row>
    <row r="16" spans="1:39" x14ac:dyDescent="0.3">
      <c r="A16" s="12">
        <v>15</v>
      </c>
      <c r="B16" s="12" t="s">
        <v>419</v>
      </c>
      <c r="C16" s="2">
        <v>10</v>
      </c>
      <c r="D16" s="2">
        <v>10</v>
      </c>
      <c r="E16" s="2">
        <v>0</v>
      </c>
      <c r="F16" s="14">
        <v>3.58</v>
      </c>
      <c r="G16" s="160">
        <v>2.7932960987091064</v>
      </c>
      <c r="H16" s="160">
        <v>2.7932960987091064</v>
      </c>
      <c r="I16" s="160">
        <v>2.7932960987091064</v>
      </c>
      <c r="J16" s="158">
        <v>41.181423187255859</v>
      </c>
      <c r="K16" s="33">
        <v>9.4622905027932962</v>
      </c>
      <c r="L16" s="33">
        <v>33.875</v>
      </c>
      <c r="M16" s="58">
        <v>45716</v>
      </c>
      <c r="N16" s="12">
        <v>15</v>
      </c>
      <c r="O16" s="12" t="s">
        <v>423</v>
      </c>
      <c r="P16" s="2">
        <v>50</v>
      </c>
      <c r="Q16" s="2">
        <v>58</v>
      </c>
      <c r="R16" s="2">
        <v>0</v>
      </c>
      <c r="S16" s="82">
        <v>18.2</v>
      </c>
      <c r="T16" s="164">
        <v>2.7472527027130127</v>
      </c>
      <c r="U16" s="165">
        <v>3.1868131160736084</v>
      </c>
      <c r="V16" s="154">
        <v>3.3516480922698975</v>
      </c>
      <c r="W16" s="159">
        <v>58.393383026123047</v>
      </c>
      <c r="X16" s="33">
        <v>8.0151098901098905</v>
      </c>
      <c r="Y16" s="33">
        <v>145.875</v>
      </c>
      <c r="Z16" s="58">
        <v>45763</v>
      </c>
      <c r="AA16" s="12">
        <v>15</v>
      </c>
      <c r="AB16" s="12" t="s">
        <v>426</v>
      </c>
      <c r="AC16" s="2">
        <v>152</v>
      </c>
      <c r="AD16" s="2">
        <v>177</v>
      </c>
      <c r="AE16" s="2">
        <v>0</v>
      </c>
      <c r="AF16" s="82">
        <v>61.36</v>
      </c>
      <c r="AG16" s="167">
        <v>2.4771838188171387</v>
      </c>
      <c r="AH16" s="160">
        <v>2.884615421295166</v>
      </c>
      <c r="AI16" s="165">
        <v>3.0475878715515137</v>
      </c>
      <c r="AJ16" s="159">
        <v>60.384815216064453</v>
      </c>
      <c r="AK16" s="33">
        <v>7.8705589960886568</v>
      </c>
      <c r="AL16" s="33">
        <v>482.9375</v>
      </c>
      <c r="AM16" s="58">
        <v>45770</v>
      </c>
    </row>
    <row r="17" spans="1:39" x14ac:dyDescent="0.3">
      <c r="A17" s="12">
        <v>16</v>
      </c>
      <c r="B17" s="12" t="s">
        <v>408</v>
      </c>
      <c r="C17" s="2">
        <v>11</v>
      </c>
      <c r="D17" s="2">
        <v>11</v>
      </c>
      <c r="E17" s="2">
        <v>0</v>
      </c>
      <c r="F17" s="14">
        <v>3.62</v>
      </c>
      <c r="G17" s="165">
        <v>3.0386741161346436</v>
      </c>
      <c r="H17" s="165">
        <v>3.0386741161346436</v>
      </c>
      <c r="I17" s="156">
        <v>3.867403507232666</v>
      </c>
      <c r="J17" s="158">
        <v>44.451930999755859</v>
      </c>
      <c r="K17" s="33">
        <v>7.8038674033149169</v>
      </c>
      <c r="L17" s="33">
        <v>28.25</v>
      </c>
      <c r="M17" s="58">
        <v>45765</v>
      </c>
      <c r="N17" s="12">
        <v>16</v>
      </c>
      <c r="O17" s="12" t="s">
        <v>425</v>
      </c>
      <c r="P17" s="2">
        <v>55</v>
      </c>
      <c r="Q17" s="2">
        <v>61</v>
      </c>
      <c r="R17" s="2">
        <v>0</v>
      </c>
      <c r="S17" s="82">
        <v>18.420000000000002</v>
      </c>
      <c r="T17" s="160">
        <v>2.9858849048614502</v>
      </c>
      <c r="U17" s="154">
        <v>3.3116178512573242</v>
      </c>
      <c r="V17" s="154">
        <v>3.3659067153930664</v>
      </c>
      <c r="W17" s="166">
        <v>62.933998107910156</v>
      </c>
      <c r="X17" s="33">
        <v>8.6862106406080333</v>
      </c>
      <c r="Y17" s="33">
        <v>160</v>
      </c>
      <c r="Z17" s="58">
        <v>45755</v>
      </c>
      <c r="AA17" s="12">
        <v>16</v>
      </c>
      <c r="AB17" s="12" t="s">
        <v>428</v>
      </c>
      <c r="AC17" s="2">
        <v>146</v>
      </c>
      <c r="AD17" s="2">
        <v>180</v>
      </c>
      <c r="AE17" s="2">
        <v>0</v>
      </c>
      <c r="AF17" s="82">
        <v>61.59</v>
      </c>
      <c r="AG17" s="167">
        <v>2.3705146312713623</v>
      </c>
      <c r="AH17" s="160">
        <v>2.9225523471832275</v>
      </c>
      <c r="AI17" s="165">
        <v>3.1173892021179199</v>
      </c>
      <c r="AJ17" s="159">
        <v>57.633468627929688</v>
      </c>
      <c r="AK17" s="33">
        <v>9.2009660659197916</v>
      </c>
      <c r="AL17" s="33">
        <v>566.6875</v>
      </c>
      <c r="AM17" s="58">
        <v>45808</v>
      </c>
    </row>
    <row r="18" spans="1:39" x14ac:dyDescent="0.3">
      <c r="A18" s="12">
        <v>17</v>
      </c>
      <c r="B18" s="12" t="s">
        <v>397</v>
      </c>
      <c r="C18" s="2">
        <v>11</v>
      </c>
      <c r="D18" s="2">
        <v>11</v>
      </c>
      <c r="E18" s="2">
        <v>0</v>
      </c>
      <c r="F18" s="14">
        <v>3.63</v>
      </c>
      <c r="G18" s="165">
        <v>3.0303030014038086</v>
      </c>
      <c r="H18" s="165">
        <v>3.0303030014038086</v>
      </c>
      <c r="I18" s="156">
        <v>3.8567492961883545</v>
      </c>
      <c r="J18" s="158">
        <v>44.243949890136719</v>
      </c>
      <c r="K18" s="33">
        <v>8.1095041322314056</v>
      </c>
      <c r="L18" s="33">
        <v>29.4375</v>
      </c>
      <c r="M18" s="58">
        <v>45765</v>
      </c>
      <c r="N18" s="12">
        <v>17</v>
      </c>
      <c r="O18" s="12" t="s">
        <v>830</v>
      </c>
      <c r="P18" s="2">
        <v>60</v>
      </c>
      <c r="Q18" s="2">
        <v>71</v>
      </c>
      <c r="R18" s="2">
        <v>0</v>
      </c>
      <c r="S18" s="82">
        <v>18.440000000000001</v>
      </c>
      <c r="T18" s="154">
        <v>3.2537961006164551</v>
      </c>
      <c r="U18" s="156">
        <v>3.850325345993042</v>
      </c>
      <c r="V18" s="95">
        <v>4.2299346923828125</v>
      </c>
      <c r="W18" s="166">
        <v>68.528732299804688</v>
      </c>
      <c r="X18" s="33">
        <v>9.4495661605206074</v>
      </c>
      <c r="Y18" s="33">
        <v>174.25</v>
      </c>
      <c r="Z18" s="58">
        <v>45810</v>
      </c>
      <c r="AA18" s="12">
        <v>17</v>
      </c>
      <c r="AB18" s="12" t="s">
        <v>429</v>
      </c>
      <c r="AC18" s="2">
        <v>172</v>
      </c>
      <c r="AD18" s="2">
        <v>210</v>
      </c>
      <c r="AE18" s="2">
        <v>0</v>
      </c>
      <c r="AF18" s="82">
        <v>61.62</v>
      </c>
      <c r="AG18" s="160">
        <v>2.7913014888763428</v>
      </c>
      <c r="AH18" s="154">
        <v>3.4079844951629639</v>
      </c>
      <c r="AI18" s="161">
        <v>3.6189548969268799</v>
      </c>
      <c r="AJ18" s="166">
        <v>67.840782165527344</v>
      </c>
      <c r="AK18" s="33">
        <v>8.6355890944498537</v>
      </c>
      <c r="AL18" s="33">
        <v>532.125</v>
      </c>
      <c r="AM18" s="58">
        <v>45783</v>
      </c>
    </row>
    <row r="19" spans="1:39" x14ac:dyDescent="0.3">
      <c r="A19" s="12">
        <v>18</v>
      </c>
      <c r="B19" s="12" t="s">
        <v>391</v>
      </c>
      <c r="C19" s="2">
        <v>10</v>
      </c>
      <c r="D19" s="2">
        <v>13</v>
      </c>
      <c r="E19" s="2">
        <v>0</v>
      </c>
      <c r="F19" s="14">
        <v>3.63</v>
      </c>
      <c r="G19" s="160">
        <v>2.7548208236694336</v>
      </c>
      <c r="H19" s="161">
        <v>3.5812671184539795</v>
      </c>
      <c r="I19" s="162">
        <v>4.4077134132385254</v>
      </c>
      <c r="J19" s="158">
        <v>40.221775054931641</v>
      </c>
      <c r="K19" s="33">
        <v>7.3691460055096423</v>
      </c>
      <c r="L19" s="33">
        <v>26.75</v>
      </c>
      <c r="M19" s="58">
        <v>45721</v>
      </c>
      <c r="N19" s="12">
        <v>18</v>
      </c>
      <c r="O19" s="12" t="s">
        <v>427</v>
      </c>
      <c r="P19" s="2">
        <v>49</v>
      </c>
      <c r="Q19" s="2">
        <v>64</v>
      </c>
      <c r="R19" s="2">
        <v>0</v>
      </c>
      <c r="S19" s="82">
        <v>18.579999999999998</v>
      </c>
      <c r="T19" s="164">
        <v>2.6372444629669189</v>
      </c>
      <c r="U19" s="154">
        <v>3.4445641040802002</v>
      </c>
      <c r="V19" s="161">
        <v>3.7136707305908203</v>
      </c>
      <c r="W19" s="157">
        <v>55.250141143798828</v>
      </c>
      <c r="X19" s="33">
        <v>8.6854144241119489</v>
      </c>
      <c r="Y19" s="33">
        <v>161.375</v>
      </c>
      <c r="Z19" s="58">
        <v>45780</v>
      </c>
      <c r="AA19" s="12">
        <v>18</v>
      </c>
      <c r="AB19" s="12" t="s">
        <v>432</v>
      </c>
      <c r="AC19" s="2">
        <v>137</v>
      </c>
      <c r="AD19" s="2">
        <v>173</v>
      </c>
      <c r="AE19" s="2">
        <v>0</v>
      </c>
      <c r="AF19" s="82">
        <v>61.69</v>
      </c>
      <c r="AG19" s="169">
        <v>2.2207813262939453</v>
      </c>
      <c r="AH19" s="160">
        <v>2.8043444156646729</v>
      </c>
      <c r="AI19" s="165">
        <v>3.0474956035614014</v>
      </c>
      <c r="AJ19" s="157">
        <v>53.931777954101563</v>
      </c>
      <c r="AK19" s="33">
        <v>8.7281163883935804</v>
      </c>
      <c r="AL19" s="33">
        <v>538.4375</v>
      </c>
      <c r="AM19" s="58">
        <v>45794</v>
      </c>
    </row>
    <row r="20" spans="1:39" x14ac:dyDescent="0.3">
      <c r="A20" s="12">
        <v>19</v>
      </c>
      <c r="B20" s="12" t="s">
        <v>391</v>
      </c>
      <c r="C20" s="2">
        <v>11</v>
      </c>
      <c r="D20" s="2">
        <v>14</v>
      </c>
      <c r="E20" s="2">
        <v>0</v>
      </c>
      <c r="F20" s="14">
        <v>3.65</v>
      </c>
      <c r="G20" s="165">
        <v>3.0136985778808594</v>
      </c>
      <c r="H20" s="156">
        <v>3.8356163501739502</v>
      </c>
      <c r="I20" s="162">
        <v>4.3835616111755371</v>
      </c>
      <c r="J20" s="158">
        <v>43.832607269287109</v>
      </c>
      <c r="K20" s="33">
        <v>9.1267123287671232</v>
      </c>
      <c r="L20" s="33">
        <v>33.3125</v>
      </c>
      <c r="M20" s="58">
        <v>45762</v>
      </c>
      <c r="N20" s="12">
        <v>19</v>
      </c>
      <c r="O20" s="12" t="s">
        <v>413</v>
      </c>
      <c r="P20" s="2">
        <v>49</v>
      </c>
      <c r="Q20" s="2">
        <v>59</v>
      </c>
      <c r="R20" s="2">
        <v>0</v>
      </c>
      <c r="S20" s="82">
        <v>18.61</v>
      </c>
      <c r="T20" s="164">
        <v>2.6329929828643799</v>
      </c>
      <c r="U20" s="165">
        <v>3.1703383922576904</v>
      </c>
      <c r="V20" s="161">
        <v>3.6002147197723389</v>
      </c>
      <c r="W20" s="157">
        <v>55.098812103271484</v>
      </c>
      <c r="X20" s="33">
        <v>9.007254164427728</v>
      </c>
      <c r="Y20" s="33">
        <v>167.625</v>
      </c>
      <c r="Z20" s="58">
        <v>45762</v>
      </c>
      <c r="AA20" s="12">
        <v>19</v>
      </c>
      <c r="AB20" s="12" t="s">
        <v>435</v>
      </c>
      <c r="AC20" s="2">
        <v>166</v>
      </c>
      <c r="AD20" s="2">
        <v>200</v>
      </c>
      <c r="AE20" s="2">
        <v>0</v>
      </c>
      <c r="AF20" s="82">
        <v>61.71</v>
      </c>
      <c r="AG20" s="164">
        <v>2.6900017261505127</v>
      </c>
      <c r="AH20" s="165">
        <v>3.2409658432006836</v>
      </c>
      <c r="AI20" s="154">
        <v>3.4192190170288086</v>
      </c>
      <c r="AJ20" s="166">
        <v>65.311988830566406</v>
      </c>
      <c r="AK20" s="33">
        <v>9.0017825311942961</v>
      </c>
      <c r="AL20" s="33">
        <v>555.5</v>
      </c>
      <c r="AM20" s="58">
        <v>45809</v>
      </c>
    </row>
    <row r="21" spans="1:39" x14ac:dyDescent="0.3">
      <c r="A21" s="12">
        <v>20</v>
      </c>
      <c r="B21" s="12" t="s">
        <v>400</v>
      </c>
      <c r="C21" s="2">
        <v>11</v>
      </c>
      <c r="D21" s="2">
        <v>12</v>
      </c>
      <c r="E21" s="2">
        <v>0</v>
      </c>
      <c r="F21" s="14">
        <v>3.67</v>
      </c>
      <c r="G21" s="160">
        <v>2.9972751140594482</v>
      </c>
      <c r="H21" s="154">
        <v>3.2697546482086182</v>
      </c>
      <c r="I21" s="156">
        <v>3.814713716506958</v>
      </c>
      <c r="J21" s="158">
        <v>43.427303314208984</v>
      </c>
      <c r="K21" s="33">
        <v>9.6049046321525893</v>
      </c>
      <c r="L21" s="33">
        <v>35.25</v>
      </c>
      <c r="M21" s="58">
        <v>45717</v>
      </c>
      <c r="N21" s="12">
        <v>20</v>
      </c>
      <c r="O21" s="12" t="s">
        <v>431</v>
      </c>
      <c r="P21" s="2">
        <v>49</v>
      </c>
      <c r="Q21" s="2">
        <v>63</v>
      </c>
      <c r="R21" s="2">
        <v>0</v>
      </c>
      <c r="S21" s="82">
        <v>18.62</v>
      </c>
      <c r="T21" s="164">
        <v>2.6315789222717285</v>
      </c>
      <c r="U21" s="154">
        <v>3.3834583759307861</v>
      </c>
      <c r="V21" s="156">
        <v>3.866809606552124</v>
      </c>
      <c r="W21" s="157">
        <v>55.048515319824219</v>
      </c>
      <c r="X21" s="33">
        <v>9.4421321160042968</v>
      </c>
      <c r="Y21" s="33">
        <v>175.8125</v>
      </c>
      <c r="Z21" s="58">
        <v>45763</v>
      </c>
      <c r="AA21" s="12">
        <v>20</v>
      </c>
      <c r="AB21" s="12" t="s">
        <v>437</v>
      </c>
      <c r="AC21" s="2">
        <v>159</v>
      </c>
      <c r="AD21" s="2">
        <v>204</v>
      </c>
      <c r="AE21" s="2">
        <v>0</v>
      </c>
      <c r="AF21" s="82">
        <v>61.91</v>
      </c>
      <c r="AG21" s="164">
        <v>2.5682442188262939</v>
      </c>
      <c r="AH21" s="154">
        <v>3.2951056957244873</v>
      </c>
      <c r="AI21" s="161">
        <v>3.6020028591156006</v>
      </c>
      <c r="AJ21" s="159">
        <v>62.214698791503906</v>
      </c>
      <c r="AK21" s="33">
        <v>8.2105071878533362</v>
      </c>
      <c r="AL21" s="33">
        <v>508.3125</v>
      </c>
      <c r="AM21" s="58">
        <v>45807</v>
      </c>
    </row>
    <row r="22" spans="1:39" x14ac:dyDescent="0.3">
      <c r="A22" s="12">
        <v>21</v>
      </c>
      <c r="B22" s="12" t="s">
        <v>430</v>
      </c>
      <c r="C22" s="2">
        <v>10</v>
      </c>
      <c r="D22" s="2">
        <v>12</v>
      </c>
      <c r="E22" s="2">
        <v>0</v>
      </c>
      <c r="F22" s="14">
        <v>3.69</v>
      </c>
      <c r="G22" s="164">
        <v>2.7100269794464111</v>
      </c>
      <c r="H22" s="154">
        <v>3.2520325183868408</v>
      </c>
      <c r="I22" s="156">
        <v>3.7940378189086914</v>
      </c>
      <c r="J22" s="158">
        <v>39.116291046142578</v>
      </c>
      <c r="K22" s="33">
        <v>8.8245257452574535</v>
      </c>
      <c r="L22" s="33">
        <v>32.5625</v>
      </c>
      <c r="M22" s="58">
        <v>45717</v>
      </c>
      <c r="N22" s="12">
        <v>21</v>
      </c>
      <c r="O22" s="12" t="s">
        <v>434</v>
      </c>
      <c r="P22" s="2">
        <v>44</v>
      </c>
      <c r="Q22" s="2">
        <v>58</v>
      </c>
      <c r="R22" s="2">
        <v>0</v>
      </c>
      <c r="S22" s="82">
        <v>18.72</v>
      </c>
      <c r="T22" s="167">
        <v>2.3504273891448975</v>
      </c>
      <c r="U22" s="165">
        <v>3.0982906818389893</v>
      </c>
      <c r="V22" s="161">
        <v>3.6324787139892578</v>
      </c>
      <c r="W22" s="158">
        <v>48.983268737792969</v>
      </c>
      <c r="X22" s="33">
        <v>8.8708600427350426</v>
      </c>
      <c r="Y22" s="33">
        <v>166.0625</v>
      </c>
      <c r="Z22" s="58">
        <v>45763</v>
      </c>
      <c r="AA22" s="12">
        <v>21</v>
      </c>
      <c r="AB22" s="12" t="s">
        <v>439</v>
      </c>
      <c r="AC22" s="2">
        <v>178</v>
      </c>
      <c r="AD22" s="2">
        <v>209</v>
      </c>
      <c r="AE22" s="2">
        <v>0</v>
      </c>
      <c r="AF22" s="82">
        <v>62.07</v>
      </c>
      <c r="AG22" s="160">
        <v>2.8677299022674561</v>
      </c>
      <c r="AH22" s="154">
        <v>3.3671660423278809</v>
      </c>
      <c r="AI22" s="161">
        <v>3.5766069889068604</v>
      </c>
      <c r="AJ22" s="163">
        <v>69.344223022460938</v>
      </c>
      <c r="AK22" s="33">
        <v>8.7189866280006445</v>
      </c>
      <c r="AL22" s="33">
        <v>541.1875</v>
      </c>
      <c r="AM22" s="58">
        <v>45779</v>
      </c>
    </row>
    <row r="23" spans="1:39" x14ac:dyDescent="0.3">
      <c r="A23" s="12">
        <v>22</v>
      </c>
      <c r="B23" s="12" t="s">
        <v>433</v>
      </c>
      <c r="C23" s="2">
        <v>11</v>
      </c>
      <c r="D23" s="2">
        <v>12</v>
      </c>
      <c r="E23" s="2">
        <v>0</v>
      </c>
      <c r="F23" s="14">
        <v>3.7</v>
      </c>
      <c r="G23" s="160">
        <v>2.9729728698730469</v>
      </c>
      <c r="H23" s="165">
        <v>3.2432432174682617</v>
      </c>
      <c r="I23" s="156">
        <v>3.7837836742401123</v>
      </c>
      <c r="J23" s="158">
        <v>42.830410003662109</v>
      </c>
      <c r="K23" s="33">
        <v>7.6351351351351351</v>
      </c>
      <c r="L23" s="33">
        <v>28.25</v>
      </c>
      <c r="M23" s="58">
        <v>45717</v>
      </c>
      <c r="N23" s="12">
        <v>22</v>
      </c>
      <c r="O23" s="12" t="s">
        <v>436</v>
      </c>
      <c r="P23" s="2">
        <v>47</v>
      </c>
      <c r="Q23" s="2">
        <v>59</v>
      </c>
      <c r="R23" s="2">
        <v>0</v>
      </c>
      <c r="S23" s="82">
        <v>18.760000000000002</v>
      </c>
      <c r="T23" s="164">
        <v>2.5053305625915527</v>
      </c>
      <c r="U23" s="165">
        <v>3.1449892520904541</v>
      </c>
      <c r="V23" s="154">
        <v>3.4115138053894043</v>
      </c>
      <c r="W23" s="157">
        <v>52.133522033691406</v>
      </c>
      <c r="X23" s="33">
        <v>9.9946695095948819</v>
      </c>
      <c r="Y23" s="33">
        <v>187.5</v>
      </c>
      <c r="Z23" s="58">
        <v>45805</v>
      </c>
      <c r="AA23" s="12">
        <v>22</v>
      </c>
      <c r="AB23" s="12" t="s">
        <v>441</v>
      </c>
      <c r="AC23" s="2">
        <v>139</v>
      </c>
      <c r="AD23" s="2">
        <v>175</v>
      </c>
      <c r="AE23" s="2">
        <v>0</v>
      </c>
      <c r="AF23" s="82">
        <v>62.07</v>
      </c>
      <c r="AG23" s="169">
        <v>2.2394070625305176</v>
      </c>
      <c r="AH23" s="160">
        <v>2.8193974494934082</v>
      </c>
      <c r="AI23" s="165">
        <v>3.0288383960723877</v>
      </c>
      <c r="AJ23" s="157">
        <v>54.150829315185547</v>
      </c>
      <c r="AK23" s="33">
        <v>8.2255920734654424</v>
      </c>
      <c r="AL23" s="33">
        <v>510.5625</v>
      </c>
      <c r="AM23" s="58">
        <v>45754</v>
      </c>
    </row>
    <row r="24" spans="1:39" x14ac:dyDescent="0.3">
      <c r="A24" s="12">
        <v>23</v>
      </c>
      <c r="B24" s="12" t="s">
        <v>397</v>
      </c>
      <c r="C24" s="2">
        <v>14</v>
      </c>
      <c r="D24" s="2">
        <v>14</v>
      </c>
      <c r="E24" s="2">
        <v>0</v>
      </c>
      <c r="F24" s="14">
        <v>3.73</v>
      </c>
      <c r="G24" s="156">
        <v>3.7533512115478516</v>
      </c>
      <c r="H24" s="156">
        <v>3.7533512115478516</v>
      </c>
      <c r="I24" s="162">
        <v>4.2895441055297852</v>
      </c>
      <c r="J24" s="157">
        <v>53.768203735351563</v>
      </c>
      <c r="K24" s="33">
        <v>7.1548257372654156</v>
      </c>
      <c r="L24" s="33">
        <v>26.6875</v>
      </c>
      <c r="M24" s="58">
        <v>45717</v>
      </c>
      <c r="N24" s="12">
        <v>23</v>
      </c>
      <c r="O24" s="12" t="s">
        <v>438</v>
      </c>
      <c r="P24" s="2">
        <v>44</v>
      </c>
      <c r="Q24" s="2">
        <v>52</v>
      </c>
      <c r="R24" s="2">
        <v>0</v>
      </c>
      <c r="S24" s="82">
        <v>18.82</v>
      </c>
      <c r="T24" s="167">
        <v>2.3379383087158203</v>
      </c>
      <c r="U24" s="160">
        <v>2.7630181312561035</v>
      </c>
      <c r="V24" s="160">
        <v>2.9224228858947754</v>
      </c>
      <c r="W24" s="158">
        <v>48.541629791259766</v>
      </c>
      <c r="X24" s="33">
        <v>7.5717321997874603</v>
      </c>
      <c r="Y24" s="33">
        <v>142.5</v>
      </c>
      <c r="Z24" s="58">
        <v>45713</v>
      </c>
      <c r="AA24" s="12">
        <v>23</v>
      </c>
      <c r="AB24" s="12" t="s">
        <v>443</v>
      </c>
      <c r="AC24" s="2">
        <v>153</v>
      </c>
      <c r="AD24" s="2">
        <v>189</v>
      </c>
      <c r="AE24" s="2">
        <v>0</v>
      </c>
      <c r="AF24" s="82">
        <v>62.22</v>
      </c>
      <c r="AG24" s="167">
        <v>2.4590163230895996</v>
      </c>
      <c r="AH24" s="165">
        <v>3.0376083850860596</v>
      </c>
      <c r="AI24" s="165">
        <v>3.2304725646972656</v>
      </c>
      <c r="AJ24" s="159">
        <v>59.360790252685547</v>
      </c>
      <c r="AK24" s="33">
        <v>7.9968257794921245</v>
      </c>
      <c r="AL24" s="33">
        <v>497.5625</v>
      </c>
      <c r="AM24" s="58">
        <v>45761</v>
      </c>
    </row>
    <row r="25" spans="1:39" x14ac:dyDescent="0.3">
      <c r="A25" s="12">
        <v>24</v>
      </c>
      <c r="B25" s="12" t="s">
        <v>405</v>
      </c>
      <c r="C25" s="2">
        <v>10</v>
      </c>
      <c r="D25" s="2">
        <v>11</v>
      </c>
      <c r="E25" s="2">
        <v>0</v>
      </c>
      <c r="F25" s="14">
        <v>3.74</v>
      </c>
      <c r="G25" s="164">
        <v>2.6737968921661377</v>
      </c>
      <c r="H25" s="160">
        <v>2.9411764144897461</v>
      </c>
      <c r="I25" s="165">
        <v>3.2085561752319336</v>
      </c>
      <c r="J25" s="158">
        <v>38.231452941894531</v>
      </c>
      <c r="K25" s="33">
        <v>10.127005347593583</v>
      </c>
      <c r="L25" s="33">
        <v>37.875</v>
      </c>
      <c r="M25" s="58">
        <v>45761</v>
      </c>
      <c r="N25" s="12">
        <v>24</v>
      </c>
      <c r="O25" s="12" t="s">
        <v>440</v>
      </c>
      <c r="P25" s="2">
        <v>46</v>
      </c>
      <c r="Q25" s="2">
        <v>69</v>
      </c>
      <c r="R25" s="2">
        <v>0</v>
      </c>
      <c r="S25" s="82">
        <v>18.829999999999998</v>
      </c>
      <c r="T25" s="167">
        <v>2.4429101943969727</v>
      </c>
      <c r="U25" s="161">
        <v>3.664365291595459</v>
      </c>
      <c r="V25" s="95">
        <v>4.0361127853393555</v>
      </c>
      <c r="W25" s="157">
        <v>50.702259063720703</v>
      </c>
      <c r="X25" s="33">
        <v>7.7967339352097724</v>
      </c>
      <c r="Y25" s="33">
        <v>146.8125</v>
      </c>
      <c r="Z25" s="58">
        <v>45716</v>
      </c>
      <c r="AA25" s="12">
        <v>24</v>
      </c>
      <c r="AB25" s="12" t="s">
        <v>429</v>
      </c>
      <c r="AC25" s="2">
        <v>145</v>
      </c>
      <c r="AD25" s="2">
        <v>185</v>
      </c>
      <c r="AE25" s="2">
        <v>0</v>
      </c>
      <c r="AF25" s="82">
        <v>62.35</v>
      </c>
      <c r="AG25" s="167">
        <v>2.3255815505981445</v>
      </c>
      <c r="AH25" s="160">
        <v>2.9671211242675781</v>
      </c>
      <c r="AI25" s="165">
        <v>3.1595830917358398</v>
      </c>
      <c r="AJ25" s="157">
        <v>56.057701110839844</v>
      </c>
      <c r="AK25" s="33">
        <v>7.5410986367281474</v>
      </c>
      <c r="AL25" s="33">
        <v>470.1875</v>
      </c>
      <c r="AM25" s="58">
        <v>45774</v>
      </c>
    </row>
    <row r="26" spans="1:39" x14ac:dyDescent="0.3">
      <c r="A26" s="12">
        <v>25</v>
      </c>
      <c r="B26" s="12" t="s">
        <v>405</v>
      </c>
      <c r="C26" s="2">
        <v>11</v>
      </c>
      <c r="D26" s="2">
        <v>11</v>
      </c>
      <c r="E26" s="2">
        <v>0</v>
      </c>
      <c r="F26" s="14">
        <v>3.74</v>
      </c>
      <c r="G26" s="160">
        <v>2.9411764144897461</v>
      </c>
      <c r="H26" s="160">
        <v>2.9411764144897461</v>
      </c>
      <c r="I26" s="165">
        <v>3.2085561752319336</v>
      </c>
      <c r="J26" s="158">
        <v>42.054595947265625</v>
      </c>
      <c r="K26" s="33">
        <v>9.4084224598930479</v>
      </c>
      <c r="L26" s="33">
        <v>35.1875</v>
      </c>
      <c r="M26" s="58">
        <v>45706</v>
      </c>
      <c r="N26" s="12">
        <v>25</v>
      </c>
      <c r="O26" s="12" t="s">
        <v>442</v>
      </c>
      <c r="P26" s="2">
        <v>43</v>
      </c>
      <c r="Q26" s="2">
        <v>54</v>
      </c>
      <c r="R26" s="2">
        <v>0</v>
      </c>
      <c r="S26" s="171">
        <v>19.02</v>
      </c>
      <c r="T26" s="167">
        <v>2.2607781887054443</v>
      </c>
      <c r="U26" s="160">
        <v>2.8391165733337402</v>
      </c>
      <c r="V26" s="160">
        <v>2.9968452453613281</v>
      </c>
      <c r="W26" s="158">
        <v>46.593524932861328</v>
      </c>
      <c r="X26" s="33">
        <v>7.5841219768664567</v>
      </c>
      <c r="Y26" s="33">
        <v>144.25</v>
      </c>
      <c r="Z26" s="58">
        <v>45716</v>
      </c>
      <c r="AA26" s="12">
        <v>25</v>
      </c>
      <c r="AB26" s="12" t="s">
        <v>445</v>
      </c>
      <c r="AC26" s="2">
        <v>161</v>
      </c>
      <c r="AD26" s="2">
        <v>195</v>
      </c>
      <c r="AE26" s="2">
        <v>0</v>
      </c>
      <c r="AF26" s="82">
        <v>62.35</v>
      </c>
      <c r="AG26" s="164">
        <v>2.5821974277496338</v>
      </c>
      <c r="AH26" s="165">
        <v>3.1275060176849365</v>
      </c>
      <c r="AI26" s="154">
        <v>3.2878909111022949</v>
      </c>
      <c r="AJ26" s="159">
        <v>62.243377685546875</v>
      </c>
      <c r="AK26" s="33">
        <v>8.422213311948676</v>
      </c>
      <c r="AL26" s="33">
        <v>525.125</v>
      </c>
      <c r="AM26" s="58">
        <v>45766</v>
      </c>
    </row>
    <row r="27" spans="1:39" x14ac:dyDescent="0.3">
      <c r="A27" s="12">
        <v>26</v>
      </c>
      <c r="B27" s="12" t="s">
        <v>430</v>
      </c>
      <c r="C27" s="2">
        <v>10</v>
      </c>
      <c r="D27" s="2">
        <v>13</v>
      </c>
      <c r="E27" s="2">
        <v>0</v>
      </c>
      <c r="F27" s="14">
        <v>3.75</v>
      </c>
      <c r="G27" s="164">
        <v>2.6666667461395264</v>
      </c>
      <c r="H27" s="154">
        <v>3.4666666984558105</v>
      </c>
      <c r="I27" s="95">
        <v>4</v>
      </c>
      <c r="J27" s="158">
        <v>38.058296203613281</v>
      </c>
      <c r="K27" s="33">
        <v>12.85</v>
      </c>
      <c r="L27" s="33">
        <v>48.1875</v>
      </c>
      <c r="M27" s="58">
        <v>45807</v>
      </c>
      <c r="N27" s="12">
        <v>26</v>
      </c>
      <c r="O27" s="12" t="s">
        <v>401</v>
      </c>
      <c r="P27" s="2">
        <v>48</v>
      </c>
      <c r="Q27" s="2">
        <v>62</v>
      </c>
      <c r="R27" s="2">
        <v>0</v>
      </c>
      <c r="S27" s="171">
        <v>19.04</v>
      </c>
      <c r="T27" s="164">
        <v>2.5210082530975342</v>
      </c>
      <c r="U27" s="154">
        <v>3.2563023567199707</v>
      </c>
      <c r="V27" s="161">
        <v>3.5189073085784912</v>
      </c>
      <c r="W27" s="157">
        <v>51.918533325195313</v>
      </c>
      <c r="X27" s="33">
        <v>9.3191964285714288</v>
      </c>
      <c r="Y27" s="33">
        <v>177.4375</v>
      </c>
      <c r="Z27" s="58">
        <v>45804</v>
      </c>
      <c r="AA27" s="12">
        <v>26</v>
      </c>
      <c r="AB27" s="12" t="s">
        <v>446</v>
      </c>
      <c r="AC27" s="2">
        <v>165</v>
      </c>
      <c r="AD27" s="2">
        <v>204</v>
      </c>
      <c r="AE27" s="2">
        <v>0</v>
      </c>
      <c r="AF27" s="82">
        <v>62.36</v>
      </c>
      <c r="AG27" s="164">
        <v>2.6459269523620605</v>
      </c>
      <c r="AH27" s="154">
        <v>3.2713277339935303</v>
      </c>
      <c r="AI27" s="154">
        <v>3.4477229118347168</v>
      </c>
      <c r="AJ27" s="166">
        <v>63.772407531738281</v>
      </c>
      <c r="AK27" s="33">
        <v>8.4629570237331624</v>
      </c>
      <c r="AL27" s="33">
        <v>527.75</v>
      </c>
      <c r="AM27" s="58">
        <v>45794</v>
      </c>
    </row>
    <row r="28" spans="1:39" x14ac:dyDescent="0.3">
      <c r="A28" s="12">
        <v>27</v>
      </c>
      <c r="B28" s="12" t="s">
        <v>405</v>
      </c>
      <c r="C28" s="2">
        <v>10</v>
      </c>
      <c r="D28" s="2">
        <v>10</v>
      </c>
      <c r="E28" s="2">
        <v>0</v>
      </c>
      <c r="F28" s="14">
        <v>3.75</v>
      </c>
      <c r="G28" s="164">
        <v>2.6666667461395264</v>
      </c>
      <c r="H28" s="164">
        <v>2.6666667461395264</v>
      </c>
      <c r="I28" s="160">
        <v>2.9333333969116211</v>
      </c>
      <c r="J28" s="158">
        <v>38.058296203613281</v>
      </c>
      <c r="K28" s="33">
        <v>8.2166666666666668</v>
      </c>
      <c r="L28" s="33">
        <v>30.8125</v>
      </c>
      <c r="M28" s="58">
        <v>45762</v>
      </c>
      <c r="N28" s="12">
        <v>27</v>
      </c>
      <c r="O28" s="12" t="s">
        <v>444</v>
      </c>
      <c r="P28" s="2">
        <v>47</v>
      </c>
      <c r="Q28" s="2">
        <v>57</v>
      </c>
      <c r="R28" s="2">
        <v>0</v>
      </c>
      <c r="S28" s="171">
        <v>19.22</v>
      </c>
      <c r="T28" s="167">
        <v>2.4453694820404053</v>
      </c>
      <c r="U28" s="160">
        <v>2.9656608104705811</v>
      </c>
      <c r="V28" s="165">
        <v>3.1217482089996338</v>
      </c>
      <c r="W28" s="157">
        <v>50.030189514160156</v>
      </c>
      <c r="X28" s="33">
        <v>8.2986472424557753</v>
      </c>
      <c r="Y28" s="33">
        <v>159.5</v>
      </c>
      <c r="Z28" s="58">
        <v>45760</v>
      </c>
      <c r="AA28" s="12">
        <v>27</v>
      </c>
      <c r="AB28" s="12" t="s">
        <v>396</v>
      </c>
      <c r="AC28" s="2">
        <v>160</v>
      </c>
      <c r="AD28" s="2">
        <v>194</v>
      </c>
      <c r="AE28" s="2">
        <v>0</v>
      </c>
      <c r="AF28" s="82">
        <v>62.43</v>
      </c>
      <c r="AG28" s="164">
        <v>2.5628705024719238</v>
      </c>
      <c r="AH28" s="165">
        <v>3.1074802875518799</v>
      </c>
      <c r="AI28" s="154">
        <v>3.2996957302093506</v>
      </c>
      <c r="AJ28" s="159">
        <v>61.722080230712891</v>
      </c>
      <c r="AK28" s="33">
        <v>8.3783837898446265</v>
      </c>
      <c r="AL28" s="33">
        <v>523.0625</v>
      </c>
      <c r="AM28" s="58">
        <v>45768</v>
      </c>
    </row>
    <row r="29" spans="1:39" x14ac:dyDescent="0.3">
      <c r="A29" s="12">
        <v>28</v>
      </c>
      <c r="B29" s="12" t="s">
        <v>391</v>
      </c>
      <c r="C29" s="2">
        <v>12</v>
      </c>
      <c r="D29" s="2">
        <v>13</v>
      </c>
      <c r="E29" s="2">
        <v>0</v>
      </c>
      <c r="F29" s="14">
        <v>3.76</v>
      </c>
      <c r="G29" s="165">
        <v>3.1914894580841064</v>
      </c>
      <c r="H29" s="154">
        <v>3.457446813583374</v>
      </c>
      <c r="I29" s="156">
        <v>3.9893617630004883</v>
      </c>
      <c r="J29" s="158">
        <v>45.463661193847656</v>
      </c>
      <c r="K29" s="33">
        <v>8.59375</v>
      </c>
      <c r="L29" s="33">
        <v>32.3125</v>
      </c>
      <c r="M29" s="58">
        <v>45766</v>
      </c>
      <c r="N29" s="12">
        <v>28</v>
      </c>
      <c r="O29" s="12" t="s">
        <v>406</v>
      </c>
      <c r="P29" s="2">
        <v>40</v>
      </c>
      <c r="Q29" s="2">
        <v>51</v>
      </c>
      <c r="R29" s="2">
        <v>2</v>
      </c>
      <c r="S29" s="171">
        <v>19.22</v>
      </c>
      <c r="T29" s="169">
        <v>2.0811655521392822</v>
      </c>
      <c r="U29" s="164">
        <v>2.6534860134124756</v>
      </c>
      <c r="V29" s="165">
        <v>3.0176899433135986</v>
      </c>
      <c r="W29" s="158">
        <v>42.578884124755859</v>
      </c>
      <c r="X29" s="33">
        <v>7.8401404786680544</v>
      </c>
      <c r="Y29" s="33">
        <v>150.6875</v>
      </c>
      <c r="Z29" s="58">
        <v>45765</v>
      </c>
      <c r="AA29" s="12">
        <v>28</v>
      </c>
      <c r="AB29" s="12" t="s">
        <v>448</v>
      </c>
      <c r="AC29" s="2">
        <v>157</v>
      </c>
      <c r="AD29" s="2">
        <v>189</v>
      </c>
      <c r="AE29" s="2">
        <v>0</v>
      </c>
      <c r="AF29" s="171">
        <v>62.73</v>
      </c>
      <c r="AG29" s="164">
        <v>2.5027897357940674</v>
      </c>
      <c r="AH29" s="165">
        <v>3.0129125118255615</v>
      </c>
      <c r="AI29" s="154">
        <v>3.2520325183868408</v>
      </c>
      <c r="AJ29" s="159">
        <v>60.073219299316406</v>
      </c>
      <c r="AK29" s="33">
        <v>8.5007173601147787</v>
      </c>
      <c r="AL29" s="33">
        <v>533.25</v>
      </c>
      <c r="AM29" s="58">
        <v>45778</v>
      </c>
    </row>
    <row r="30" spans="1:39" x14ac:dyDescent="0.3">
      <c r="A30" s="12">
        <v>29</v>
      </c>
      <c r="B30" s="12" t="s">
        <v>419</v>
      </c>
      <c r="C30" s="2">
        <v>12</v>
      </c>
      <c r="D30" s="2">
        <v>13</v>
      </c>
      <c r="E30" s="2">
        <v>0</v>
      </c>
      <c r="F30" s="14">
        <v>3.76</v>
      </c>
      <c r="G30" s="165">
        <v>3.1914894580841064</v>
      </c>
      <c r="H30" s="154">
        <v>3.457446813583374</v>
      </c>
      <c r="I30" s="161">
        <v>3.7234041690826416</v>
      </c>
      <c r="J30" s="158">
        <v>45.463661193847656</v>
      </c>
      <c r="K30" s="33">
        <v>8.4607712765957448</v>
      </c>
      <c r="L30" s="33">
        <v>31.8125</v>
      </c>
      <c r="M30" s="58">
        <v>45763</v>
      </c>
      <c r="N30" s="12">
        <v>29</v>
      </c>
      <c r="O30" s="12" t="s">
        <v>415</v>
      </c>
      <c r="P30" s="2">
        <v>61</v>
      </c>
      <c r="Q30" s="2">
        <v>75</v>
      </c>
      <c r="R30" s="2">
        <v>0</v>
      </c>
      <c r="S30" s="171">
        <v>19.22</v>
      </c>
      <c r="T30" s="165">
        <v>3.1737773418426514</v>
      </c>
      <c r="U30" s="156">
        <v>3.9021854400634766</v>
      </c>
      <c r="V30" s="95">
        <v>4.1623311042785645</v>
      </c>
      <c r="W30" s="166">
        <v>64.93280029296875</v>
      </c>
      <c r="X30" s="33">
        <v>9.1571279916753383</v>
      </c>
      <c r="Y30" s="33">
        <v>176</v>
      </c>
      <c r="Z30" s="58">
        <v>45767</v>
      </c>
      <c r="AA30" s="12">
        <v>29</v>
      </c>
      <c r="AB30" s="12" t="s">
        <v>393</v>
      </c>
      <c r="AC30" s="2">
        <v>144</v>
      </c>
      <c r="AD30" s="2">
        <v>172</v>
      </c>
      <c r="AE30" s="2">
        <v>0</v>
      </c>
      <c r="AF30" s="171">
        <v>62.78</v>
      </c>
      <c r="AG30" s="167">
        <v>2.2937240600585938</v>
      </c>
      <c r="AH30" s="164">
        <v>2.7397260665893555</v>
      </c>
      <c r="AI30" s="160">
        <v>2.899012565612793</v>
      </c>
      <c r="AJ30" s="157">
        <v>55.024429321289063</v>
      </c>
      <c r="AK30" s="33">
        <v>8.2002628225549543</v>
      </c>
      <c r="AL30" s="33">
        <v>514.8125</v>
      </c>
      <c r="AM30" s="58">
        <v>45769</v>
      </c>
    </row>
    <row r="31" spans="1:39" x14ac:dyDescent="0.3">
      <c r="A31" s="12">
        <v>30</v>
      </c>
      <c r="B31" s="12" t="s">
        <v>412</v>
      </c>
      <c r="C31" s="2">
        <v>11</v>
      </c>
      <c r="D31" s="2">
        <v>15</v>
      </c>
      <c r="E31" s="2">
        <v>0</v>
      </c>
      <c r="F31" s="14">
        <v>3.77</v>
      </c>
      <c r="G31" s="160">
        <v>2.9177718162536621</v>
      </c>
      <c r="H31" s="156">
        <v>3.9787797927856445</v>
      </c>
      <c r="I31" s="155">
        <v>4.5092840194702148</v>
      </c>
      <c r="J31" s="158">
        <v>41.487274169921875</v>
      </c>
      <c r="K31" s="33">
        <v>8.9688328912466844</v>
      </c>
      <c r="L31" s="33">
        <v>33.8125</v>
      </c>
      <c r="M31" s="58">
        <v>45763</v>
      </c>
      <c r="N31" s="12">
        <v>30</v>
      </c>
      <c r="O31" s="12" t="s">
        <v>447</v>
      </c>
      <c r="P31" s="2">
        <v>47</v>
      </c>
      <c r="Q31" s="2">
        <v>65</v>
      </c>
      <c r="R31" s="2">
        <v>0</v>
      </c>
      <c r="S31" s="171">
        <v>19.23</v>
      </c>
      <c r="T31" s="167">
        <v>2.4440977573394775</v>
      </c>
      <c r="U31" s="154">
        <v>3.3801352977752686</v>
      </c>
      <c r="V31" s="156">
        <v>3.8481540679931641</v>
      </c>
      <c r="W31" s="158">
        <v>49.985965728759766</v>
      </c>
      <c r="X31" s="33">
        <v>9.7698907956318255</v>
      </c>
      <c r="Y31" s="33">
        <v>187.875</v>
      </c>
      <c r="Z31" s="58">
        <v>45785</v>
      </c>
      <c r="AA31" s="12">
        <v>30</v>
      </c>
      <c r="AB31" s="12" t="s">
        <v>449</v>
      </c>
      <c r="AC31" s="2">
        <v>138</v>
      </c>
      <c r="AD31" s="2">
        <v>182</v>
      </c>
      <c r="AE31" s="2">
        <v>0</v>
      </c>
      <c r="AF31" s="171">
        <v>62.79</v>
      </c>
      <c r="AG31" s="169">
        <v>2.1978020668029785</v>
      </c>
      <c r="AH31" s="160">
        <v>2.8985507488250732</v>
      </c>
      <c r="AI31" s="165">
        <v>3.1374421119689941</v>
      </c>
      <c r="AJ31" s="157">
        <v>52.717460632324219</v>
      </c>
      <c r="AK31" s="33">
        <v>8.464723682114986</v>
      </c>
      <c r="AL31" s="33">
        <v>531.5</v>
      </c>
      <c r="AM31" s="58">
        <v>45767</v>
      </c>
    </row>
    <row r="32" spans="1:39" x14ac:dyDescent="0.3">
      <c r="A32" s="12">
        <v>31</v>
      </c>
      <c r="B32" s="12" t="s">
        <v>412</v>
      </c>
      <c r="C32" s="2">
        <v>10</v>
      </c>
      <c r="D32" s="2">
        <v>13</v>
      </c>
      <c r="E32" s="2">
        <v>0</v>
      </c>
      <c r="F32" s="14">
        <v>3.78</v>
      </c>
      <c r="G32" s="164">
        <v>2.6455025672912598</v>
      </c>
      <c r="H32" s="154">
        <v>3.4391534328460693</v>
      </c>
      <c r="I32" s="156">
        <v>3.9682540893554688</v>
      </c>
      <c r="J32" s="158">
        <v>37.546237945556641</v>
      </c>
      <c r="K32" s="33">
        <v>9.4907407407407405</v>
      </c>
      <c r="L32" s="33">
        <v>35.875</v>
      </c>
      <c r="M32" s="58">
        <v>45717</v>
      </c>
      <c r="N32" s="12">
        <v>31</v>
      </c>
      <c r="O32" s="12" t="s">
        <v>406</v>
      </c>
      <c r="P32" s="2">
        <v>56</v>
      </c>
      <c r="Q32" s="2">
        <v>66</v>
      </c>
      <c r="R32" s="2">
        <v>0</v>
      </c>
      <c r="S32" s="171">
        <v>19.3</v>
      </c>
      <c r="T32" s="160">
        <v>2.9015545845031738</v>
      </c>
      <c r="U32" s="154">
        <v>3.4196891784667969</v>
      </c>
      <c r="V32" s="161">
        <v>3.5751297473907471</v>
      </c>
      <c r="W32" s="159">
        <v>59.190998077392578</v>
      </c>
      <c r="X32" s="33">
        <v>9.9611398963730569</v>
      </c>
      <c r="Y32" s="33">
        <v>192.25</v>
      </c>
      <c r="Z32" s="58">
        <v>45805</v>
      </c>
      <c r="AA32" s="12">
        <v>31</v>
      </c>
      <c r="AB32" s="12" t="s">
        <v>450</v>
      </c>
      <c r="AC32" s="2">
        <v>152</v>
      </c>
      <c r="AD32" s="2">
        <v>189</v>
      </c>
      <c r="AE32" s="2">
        <v>0</v>
      </c>
      <c r="AF32" s="171">
        <v>62.92</v>
      </c>
      <c r="AG32" s="167">
        <v>2.4157662391662598</v>
      </c>
      <c r="AH32" s="165">
        <v>3.0038144588470459</v>
      </c>
      <c r="AI32" s="165">
        <v>3.2104260921478271</v>
      </c>
      <c r="AJ32" s="159">
        <v>57.86181640625</v>
      </c>
      <c r="AK32" s="33">
        <v>8.7064923712650977</v>
      </c>
      <c r="AL32" s="33">
        <v>547.8125</v>
      </c>
      <c r="AM32" s="58">
        <v>45786</v>
      </c>
    </row>
    <row r="33" spans="1:39" x14ac:dyDescent="0.3">
      <c r="A33" s="12">
        <v>32</v>
      </c>
      <c r="B33" s="12" t="s">
        <v>408</v>
      </c>
      <c r="C33" s="2">
        <v>10</v>
      </c>
      <c r="D33" s="2">
        <v>10</v>
      </c>
      <c r="E33" s="2">
        <v>0</v>
      </c>
      <c r="F33" s="14">
        <v>3.79</v>
      </c>
      <c r="G33" s="164">
        <v>2.6385223865509033</v>
      </c>
      <c r="H33" s="164">
        <v>2.6385223865509033</v>
      </c>
      <c r="I33" s="160">
        <v>2.9023747444152832</v>
      </c>
      <c r="J33" s="172">
        <v>37.377983093261719</v>
      </c>
      <c r="K33" s="33">
        <v>8.1134564643799472</v>
      </c>
      <c r="L33" s="33">
        <v>30.75</v>
      </c>
      <c r="M33" s="58">
        <v>45712</v>
      </c>
      <c r="N33" s="12">
        <v>32</v>
      </c>
      <c r="O33" s="12" t="s">
        <v>431</v>
      </c>
      <c r="P33" s="2">
        <v>41</v>
      </c>
      <c r="Q33" s="2">
        <v>56</v>
      </c>
      <c r="R33" s="2">
        <v>0</v>
      </c>
      <c r="S33" s="171">
        <v>19.32</v>
      </c>
      <c r="T33" s="169">
        <v>2.1221532821655273</v>
      </c>
      <c r="U33" s="160">
        <v>2.8985507488250732</v>
      </c>
      <c r="V33" s="165">
        <v>3.1573500633239746</v>
      </c>
      <c r="W33" s="158">
        <v>43.260025024414063</v>
      </c>
      <c r="X33" s="33">
        <v>8.9318064182194608</v>
      </c>
      <c r="Y33" s="33">
        <v>172.5625</v>
      </c>
      <c r="Z33" s="58">
        <v>45767</v>
      </c>
      <c r="AA33" s="12">
        <v>32</v>
      </c>
      <c r="AB33" s="12" t="s">
        <v>451</v>
      </c>
      <c r="AC33" s="2">
        <v>147</v>
      </c>
      <c r="AD33" s="2">
        <v>182</v>
      </c>
      <c r="AE33" s="2">
        <v>0</v>
      </c>
      <c r="AF33" s="171">
        <v>62.95</v>
      </c>
      <c r="AG33" s="167">
        <v>2.3351867198944092</v>
      </c>
      <c r="AH33" s="160">
        <v>2.8911833763122559</v>
      </c>
      <c r="AI33" s="165">
        <v>3.034153938293457</v>
      </c>
      <c r="AJ33" s="157">
        <v>55.913131713867188</v>
      </c>
      <c r="AK33" s="33">
        <v>8.9257347100873705</v>
      </c>
      <c r="AL33" s="33">
        <v>561.875</v>
      </c>
      <c r="AM33" s="58">
        <v>45778</v>
      </c>
    </row>
    <row r="34" spans="1:39" x14ac:dyDescent="0.3">
      <c r="A34" s="12">
        <v>33</v>
      </c>
      <c r="B34" s="12" t="s">
        <v>400</v>
      </c>
      <c r="C34" s="2">
        <v>11</v>
      </c>
      <c r="D34" s="2">
        <v>13</v>
      </c>
      <c r="E34" s="2">
        <v>0</v>
      </c>
      <c r="F34" s="14">
        <v>3.8</v>
      </c>
      <c r="G34" s="160">
        <v>2.8947367668151855</v>
      </c>
      <c r="H34" s="154">
        <v>3.4210526943206787</v>
      </c>
      <c r="I34" s="156">
        <v>3.9473683834075928</v>
      </c>
      <c r="J34" s="158">
        <v>40.932010650634766</v>
      </c>
      <c r="K34" s="33">
        <v>7.4342105263157894</v>
      </c>
      <c r="L34" s="33">
        <v>28.25</v>
      </c>
      <c r="M34" s="58">
        <v>45717</v>
      </c>
      <c r="N34" s="12">
        <v>33</v>
      </c>
      <c r="O34" s="12" t="s">
        <v>444</v>
      </c>
      <c r="P34" s="2">
        <v>58</v>
      </c>
      <c r="Q34" s="2">
        <v>67</v>
      </c>
      <c r="R34" s="2">
        <v>0</v>
      </c>
      <c r="S34" s="171">
        <v>19.34</v>
      </c>
      <c r="T34" s="160">
        <v>2.9989657402038574</v>
      </c>
      <c r="U34" s="154">
        <v>3.464322566986084</v>
      </c>
      <c r="V34" s="161">
        <v>3.6194415092468262</v>
      </c>
      <c r="W34" s="159">
        <v>61.089561462402344</v>
      </c>
      <c r="X34" s="33">
        <v>10.483453981385729</v>
      </c>
      <c r="Y34" s="33">
        <v>202.75</v>
      </c>
      <c r="Z34" s="58">
        <v>45805</v>
      </c>
      <c r="AA34" s="12">
        <v>33</v>
      </c>
      <c r="AB34" s="12" t="s">
        <v>414</v>
      </c>
      <c r="AC34" s="2">
        <v>148</v>
      </c>
      <c r="AD34" s="2">
        <v>184</v>
      </c>
      <c r="AE34" s="2">
        <v>0</v>
      </c>
      <c r="AF34" s="171">
        <v>62.98</v>
      </c>
      <c r="AG34" s="167">
        <v>2.3499524593353271</v>
      </c>
      <c r="AH34" s="160">
        <v>2.9215624332427979</v>
      </c>
      <c r="AI34" s="165">
        <v>3.0803430080413818</v>
      </c>
      <c r="AJ34" s="157">
        <v>56.247920989990234</v>
      </c>
      <c r="AK34" s="33">
        <v>8.676365512861226</v>
      </c>
      <c r="AL34" s="33">
        <v>546.4375</v>
      </c>
      <c r="AM34" s="58">
        <v>45786</v>
      </c>
    </row>
    <row r="35" spans="1:39" x14ac:dyDescent="0.3">
      <c r="A35" s="12">
        <v>34</v>
      </c>
      <c r="B35" s="12" t="s">
        <v>400</v>
      </c>
      <c r="C35" s="2">
        <v>13</v>
      </c>
      <c r="D35" s="2">
        <v>16</v>
      </c>
      <c r="E35" s="2">
        <v>0</v>
      </c>
      <c r="F35" s="12">
        <v>3.8</v>
      </c>
      <c r="G35" s="3">
        <v>3.4210526943206787</v>
      </c>
      <c r="H35" s="3">
        <v>4.2105264663696289</v>
      </c>
      <c r="I35" s="3">
        <v>4.4736843109130859</v>
      </c>
      <c r="J35" s="33">
        <v>48.374195098876953</v>
      </c>
      <c r="K35" s="33">
        <v>9.3914473684210531</v>
      </c>
      <c r="L35" s="33">
        <v>35.6875</v>
      </c>
      <c r="M35" s="58">
        <v>45717</v>
      </c>
      <c r="N35" s="12">
        <v>34</v>
      </c>
      <c r="O35" s="12" t="s">
        <v>410</v>
      </c>
      <c r="P35" s="2">
        <v>51</v>
      </c>
      <c r="Q35" s="2">
        <v>64</v>
      </c>
      <c r="R35" s="2">
        <v>0</v>
      </c>
      <c r="S35" s="12">
        <v>19.350000000000001</v>
      </c>
      <c r="T35" s="3">
        <v>2.6356589794158936</v>
      </c>
      <c r="U35" s="3">
        <v>3.3074934482574463</v>
      </c>
      <c r="V35" s="3">
        <v>3.6175708770751953</v>
      </c>
      <c r="W35" s="33">
        <v>53.669498443603516</v>
      </c>
      <c r="X35" s="33">
        <v>8.5206718346253218</v>
      </c>
      <c r="Y35" s="33">
        <v>164.875</v>
      </c>
      <c r="Z35" s="58">
        <v>45764</v>
      </c>
      <c r="AA35" s="12">
        <v>34</v>
      </c>
      <c r="AB35" s="12" t="s">
        <v>455</v>
      </c>
      <c r="AC35" s="2">
        <v>172</v>
      </c>
      <c r="AD35" s="2">
        <v>208</v>
      </c>
      <c r="AE35" s="2">
        <v>0</v>
      </c>
      <c r="AF35" s="12">
        <v>63.04</v>
      </c>
      <c r="AG35" s="3">
        <v>2.728426456451416</v>
      </c>
      <c r="AH35" s="3">
        <v>3.299492359161377</v>
      </c>
      <c r="AI35" s="3">
        <v>3.4898476600646973</v>
      </c>
      <c r="AJ35" s="33">
        <v>65.263465881347656</v>
      </c>
      <c r="AK35" s="33">
        <v>8.4549492385786795</v>
      </c>
      <c r="AL35" s="33">
        <v>533</v>
      </c>
      <c r="AM35" s="58">
        <v>45805</v>
      </c>
    </row>
    <row r="36" spans="1:39" x14ac:dyDescent="0.3">
      <c r="A36" s="12">
        <v>35</v>
      </c>
      <c r="B36" s="12" t="s">
        <v>412</v>
      </c>
      <c r="C36" s="2">
        <v>11</v>
      </c>
      <c r="D36" s="2">
        <v>15</v>
      </c>
      <c r="E36" s="2">
        <v>0</v>
      </c>
      <c r="F36" s="12">
        <v>3.8</v>
      </c>
      <c r="G36" s="3">
        <v>2.8947367668151855</v>
      </c>
      <c r="H36" s="3">
        <v>3.9473683834075928</v>
      </c>
      <c r="I36" s="3">
        <v>4.4736843109130859</v>
      </c>
      <c r="J36" s="33">
        <v>40.932010650634766</v>
      </c>
      <c r="K36" s="33">
        <v>7.2203947368421053</v>
      </c>
      <c r="L36" s="33">
        <v>27.4375</v>
      </c>
      <c r="M36" s="58">
        <v>45717</v>
      </c>
      <c r="N36" s="12">
        <v>35</v>
      </c>
      <c r="O36" s="12" t="s">
        <v>452</v>
      </c>
      <c r="P36" s="2">
        <v>42</v>
      </c>
      <c r="Q36" s="2">
        <v>58</v>
      </c>
      <c r="R36" s="2">
        <v>0</v>
      </c>
      <c r="S36" s="12">
        <v>19.41</v>
      </c>
      <c r="T36" s="3">
        <v>2.1638331413269043</v>
      </c>
      <c r="U36" s="3">
        <v>2.9881503582000732</v>
      </c>
      <c r="V36" s="3">
        <v>3.2972695827484131</v>
      </c>
      <c r="W36" s="33">
        <v>43.966396331787109</v>
      </c>
      <c r="X36" s="33">
        <v>9.4603297269448738</v>
      </c>
      <c r="Y36" s="33">
        <v>183.625</v>
      </c>
      <c r="Z36" s="58">
        <v>45772</v>
      </c>
      <c r="AA36" s="12">
        <v>35</v>
      </c>
      <c r="AB36" s="12" t="s">
        <v>457</v>
      </c>
      <c r="AC36" s="2">
        <v>145</v>
      </c>
      <c r="AD36" s="2">
        <v>181</v>
      </c>
      <c r="AE36" s="2">
        <v>0</v>
      </c>
      <c r="AF36" s="12">
        <v>63.11</v>
      </c>
      <c r="AG36" s="3">
        <v>2.2975757122039795</v>
      </c>
      <c r="AH36" s="3">
        <v>2.8680081367492676</v>
      </c>
      <c r="AI36" s="3">
        <v>3.0898430347442627</v>
      </c>
      <c r="AJ36" s="33">
        <v>54.9149169921875</v>
      </c>
      <c r="AK36" s="33">
        <v>9.1823799714783707</v>
      </c>
      <c r="AL36" s="33">
        <v>579.5</v>
      </c>
      <c r="AM36" s="58">
        <v>45791</v>
      </c>
    </row>
    <row r="37" spans="1:39" x14ac:dyDescent="0.3">
      <c r="A37" s="12">
        <v>36</v>
      </c>
      <c r="B37" s="12" t="s">
        <v>405</v>
      </c>
      <c r="C37" s="2">
        <v>14</v>
      </c>
      <c r="D37" s="2">
        <v>15</v>
      </c>
      <c r="E37" s="2">
        <v>0</v>
      </c>
      <c r="F37" s="12">
        <v>3.82</v>
      </c>
      <c r="G37" s="3">
        <v>3.6649215221405029</v>
      </c>
      <c r="H37" s="3">
        <v>3.926701545715332</v>
      </c>
      <c r="I37" s="3">
        <v>4.1884818077087402</v>
      </c>
      <c r="J37" s="33">
        <v>51.632461547851563</v>
      </c>
      <c r="K37" s="33">
        <v>8.3769633507853403</v>
      </c>
      <c r="L37" s="33">
        <v>32</v>
      </c>
      <c r="M37" s="58">
        <v>45766</v>
      </c>
      <c r="N37" s="12">
        <v>36</v>
      </c>
      <c r="O37" s="12" t="s">
        <v>454</v>
      </c>
      <c r="P37" s="2">
        <v>48</v>
      </c>
      <c r="Q37" s="2">
        <v>60</v>
      </c>
      <c r="R37" s="2">
        <v>0</v>
      </c>
      <c r="S37" s="12">
        <v>19.440000000000001</v>
      </c>
      <c r="T37" s="3">
        <v>2.4691357612609863</v>
      </c>
      <c r="U37" s="3">
        <v>3.0864195823669434</v>
      </c>
      <c r="V37" s="3">
        <v>3.4979422092437744</v>
      </c>
      <c r="W37" s="33">
        <v>50.115562438964844</v>
      </c>
      <c r="X37" s="33">
        <v>8.8927469135802468</v>
      </c>
      <c r="Y37" s="33">
        <v>172.875</v>
      </c>
      <c r="Z37" s="58">
        <v>45805</v>
      </c>
      <c r="AA37" s="12">
        <v>36</v>
      </c>
      <c r="AB37" s="12" t="s">
        <v>458</v>
      </c>
      <c r="AC37" s="2">
        <v>128</v>
      </c>
      <c r="AD37" s="2">
        <v>156</v>
      </c>
      <c r="AE37" s="2">
        <v>0</v>
      </c>
      <c r="AF37" s="12">
        <v>63.26</v>
      </c>
      <c r="AG37" s="3">
        <v>2.0233955383300781</v>
      </c>
      <c r="AH37" s="3">
        <v>2.4660134315490723</v>
      </c>
      <c r="AI37" s="3">
        <v>2.6398990154266357</v>
      </c>
      <c r="AJ37" s="33">
        <v>48.281375885009766</v>
      </c>
      <c r="AK37" s="33">
        <v>7.9878675308251665</v>
      </c>
      <c r="AL37" s="33">
        <v>505.3125</v>
      </c>
      <c r="AM37" s="58">
        <v>45772</v>
      </c>
    </row>
    <row r="39" spans="1:39" x14ac:dyDescent="0.3">
      <c r="A39" s="12">
        <v>1</v>
      </c>
      <c r="B39" s="12" t="s">
        <v>405</v>
      </c>
      <c r="C39" s="2">
        <v>11</v>
      </c>
      <c r="D39" s="2">
        <v>11</v>
      </c>
      <c r="E39" s="2">
        <v>0</v>
      </c>
      <c r="F39" s="12">
        <v>3.17</v>
      </c>
      <c r="G39" s="3">
        <v>3.4700314998626709</v>
      </c>
      <c r="H39" s="3">
        <v>3.4700314998626709</v>
      </c>
      <c r="I39" s="3">
        <v>3.7854888439178467</v>
      </c>
      <c r="J39" s="33">
        <v>55.705028533935547</v>
      </c>
      <c r="K39" s="33">
        <v>11.119873817034701</v>
      </c>
      <c r="L39" s="33">
        <v>35.25</v>
      </c>
      <c r="M39" s="58">
        <v>45810</v>
      </c>
      <c r="N39" s="12">
        <v>1</v>
      </c>
      <c r="O39" s="12" t="s">
        <v>392</v>
      </c>
      <c r="P39" s="2">
        <v>42</v>
      </c>
      <c r="Q39" s="2">
        <v>50</v>
      </c>
      <c r="R39" s="2">
        <v>0</v>
      </c>
      <c r="S39" s="12">
        <v>14.89</v>
      </c>
      <c r="T39" s="3">
        <v>2.8206849098205566</v>
      </c>
      <c r="U39" s="3">
        <v>3.3579583168029785</v>
      </c>
      <c r="V39" s="3">
        <v>3.492276668548584</v>
      </c>
      <c r="W39" s="33">
        <v>68.999076843261719</v>
      </c>
      <c r="X39" s="33">
        <v>10.812625923438549</v>
      </c>
      <c r="Y39" s="33">
        <v>161</v>
      </c>
      <c r="Z39" s="58">
        <v>45801</v>
      </c>
      <c r="AA39" s="12">
        <v>1</v>
      </c>
      <c r="AB39" s="12" t="s">
        <v>393</v>
      </c>
      <c r="AC39" s="2">
        <v>148</v>
      </c>
      <c r="AD39" s="2">
        <v>177</v>
      </c>
      <c r="AE39" s="2">
        <v>0</v>
      </c>
      <c r="AF39" s="12">
        <v>54.74</v>
      </c>
      <c r="AG39" s="3">
        <v>2.7036900520324707</v>
      </c>
      <c r="AH39" s="3">
        <v>3.2334671020507813</v>
      </c>
      <c r="AI39" s="3">
        <v>3.4709534645080566</v>
      </c>
      <c r="AJ39" s="33">
        <v>71.389244079589844</v>
      </c>
      <c r="AK39" s="33">
        <v>8.444464742418706</v>
      </c>
      <c r="AL39" s="33">
        <v>462.25</v>
      </c>
      <c r="AM39" s="58">
        <v>45801</v>
      </c>
    </row>
    <row r="40" spans="1:39" x14ac:dyDescent="0.3">
      <c r="A40" s="12">
        <v>2</v>
      </c>
      <c r="B40" s="12" t="s">
        <v>391</v>
      </c>
      <c r="C40" s="2">
        <v>11</v>
      </c>
      <c r="D40" s="2">
        <v>13</v>
      </c>
      <c r="E40" s="2">
        <v>0</v>
      </c>
      <c r="F40" s="12">
        <v>3.28</v>
      </c>
      <c r="G40" s="3">
        <v>3.3536586761474609</v>
      </c>
      <c r="H40" s="3">
        <v>3.9634146690368652</v>
      </c>
      <c r="I40" s="3">
        <v>4.5731706619262695</v>
      </c>
      <c r="J40" s="33">
        <v>52.566574096679688</v>
      </c>
      <c r="K40" s="33">
        <v>9.7751524390243905</v>
      </c>
      <c r="L40" s="33">
        <v>32.0625</v>
      </c>
      <c r="M40" s="58">
        <v>45762</v>
      </c>
      <c r="N40" s="12">
        <v>2</v>
      </c>
      <c r="O40" s="12" t="s">
        <v>395</v>
      </c>
      <c r="P40" s="2">
        <v>40</v>
      </c>
      <c r="Q40" s="2">
        <v>44</v>
      </c>
      <c r="R40" s="2">
        <v>0</v>
      </c>
      <c r="S40" s="12">
        <v>15.62</v>
      </c>
      <c r="T40" s="3">
        <v>2.5608193874359131</v>
      </c>
      <c r="U40" s="3">
        <v>2.8169014453887939</v>
      </c>
      <c r="V40" s="3">
        <v>3.008962869644165</v>
      </c>
      <c r="W40" s="33">
        <v>60.578323364257813</v>
      </c>
      <c r="X40" s="33">
        <v>8.3266645326504491</v>
      </c>
      <c r="Y40" s="33">
        <v>130.0625</v>
      </c>
      <c r="Z40" s="58">
        <v>45766</v>
      </c>
      <c r="AA40" s="12">
        <v>2</v>
      </c>
      <c r="AB40" s="12" t="s">
        <v>396</v>
      </c>
      <c r="AC40" s="2">
        <v>143</v>
      </c>
      <c r="AD40" s="2">
        <v>174</v>
      </c>
      <c r="AE40" s="2">
        <v>0</v>
      </c>
      <c r="AF40" s="12">
        <v>57.69</v>
      </c>
      <c r="AG40" s="3">
        <v>2.4787659645080566</v>
      </c>
      <c r="AH40" s="3">
        <v>3.0161206722259521</v>
      </c>
      <c r="AI40" s="3">
        <v>3.2761311531066895</v>
      </c>
      <c r="AJ40" s="33">
        <v>63.089107513427734</v>
      </c>
      <c r="AK40" s="33">
        <v>8.5110071069509452</v>
      </c>
      <c r="AL40" s="33">
        <v>491</v>
      </c>
      <c r="AM40" s="58">
        <v>45763</v>
      </c>
    </row>
    <row r="41" spans="1:39" x14ac:dyDescent="0.3">
      <c r="A41" s="12">
        <v>3</v>
      </c>
      <c r="B41" s="12" t="s">
        <v>394</v>
      </c>
      <c r="C41" s="2">
        <v>10</v>
      </c>
      <c r="D41" s="2">
        <v>10</v>
      </c>
      <c r="E41" s="2">
        <v>0</v>
      </c>
      <c r="F41" s="12">
        <v>3.29</v>
      </c>
      <c r="G41" s="3">
        <v>3.0395138263702393</v>
      </c>
      <c r="H41" s="3">
        <v>3.0395138263702393</v>
      </c>
      <c r="I41" s="3">
        <v>3.3434650897979736</v>
      </c>
      <c r="J41" s="33">
        <v>47.541126251220703</v>
      </c>
      <c r="K41" s="33">
        <v>9.4984802431610937</v>
      </c>
      <c r="L41" s="33">
        <v>31.25</v>
      </c>
      <c r="M41" s="58">
        <v>45762</v>
      </c>
      <c r="N41" s="12">
        <v>3</v>
      </c>
      <c r="O41" s="12" t="s">
        <v>398</v>
      </c>
      <c r="P41" s="2">
        <v>35</v>
      </c>
      <c r="Q41" s="2">
        <v>46</v>
      </c>
      <c r="R41" s="2">
        <v>0</v>
      </c>
      <c r="S41" s="12">
        <v>16.43</v>
      </c>
      <c r="T41" s="3">
        <v>2.1302495002746582</v>
      </c>
      <c r="U41" s="3">
        <v>2.7997565269470215</v>
      </c>
      <c r="V41" s="3">
        <v>3.2866706848144531</v>
      </c>
      <c r="W41" s="33">
        <v>48.640628814697266</v>
      </c>
      <c r="X41" s="33">
        <v>8.2927571515520384</v>
      </c>
      <c r="Y41" s="33">
        <v>136.25</v>
      </c>
      <c r="Z41" s="58">
        <v>45712</v>
      </c>
      <c r="AA41" s="12">
        <v>3</v>
      </c>
      <c r="AB41" s="12" t="s">
        <v>399</v>
      </c>
      <c r="AC41" s="2">
        <v>152</v>
      </c>
      <c r="AD41" s="2">
        <v>176</v>
      </c>
      <c r="AE41" s="2">
        <v>0</v>
      </c>
      <c r="AF41" s="12">
        <v>58.2</v>
      </c>
      <c r="AG41" s="3">
        <v>2.6116838455200195</v>
      </c>
      <c r="AH41" s="3">
        <v>3.024055004119873</v>
      </c>
      <c r="AI41" s="3">
        <v>3.1958763599395752</v>
      </c>
      <c r="AJ41" s="33">
        <v>66.063835144042969</v>
      </c>
      <c r="AK41" s="33">
        <v>9.1237113402061851</v>
      </c>
      <c r="AL41" s="33">
        <v>531</v>
      </c>
      <c r="AM41" s="58">
        <v>45779</v>
      </c>
    </row>
    <row r="42" spans="1:39" x14ac:dyDescent="0.3">
      <c r="A42" s="12">
        <v>4</v>
      </c>
      <c r="B42" s="12" t="s">
        <v>397</v>
      </c>
      <c r="C42" s="2">
        <v>13</v>
      </c>
      <c r="D42" s="2">
        <v>13</v>
      </c>
      <c r="E42" s="2">
        <v>0</v>
      </c>
      <c r="F42" s="12">
        <v>3.33</v>
      </c>
      <c r="G42" s="3">
        <v>3.9039039611816406</v>
      </c>
      <c r="H42" s="3">
        <v>3.9039039611816406</v>
      </c>
      <c r="I42" s="3">
        <v>4.2042040824890137</v>
      </c>
      <c r="J42" s="33">
        <v>60.546730041503906</v>
      </c>
      <c r="K42" s="33">
        <v>10.341591591591591</v>
      </c>
      <c r="L42" s="33">
        <v>34.4375</v>
      </c>
      <c r="M42" s="58">
        <v>45807</v>
      </c>
      <c r="N42" s="12">
        <v>4</v>
      </c>
      <c r="O42" s="12" t="s">
        <v>401</v>
      </c>
      <c r="P42" s="2">
        <v>42</v>
      </c>
      <c r="Q42" s="2">
        <v>54</v>
      </c>
      <c r="R42" s="2">
        <v>0</v>
      </c>
      <c r="S42" s="12">
        <v>16.5</v>
      </c>
      <c r="T42" s="3">
        <v>2.5454545021057129</v>
      </c>
      <c r="U42" s="3">
        <v>3.2727272510528564</v>
      </c>
      <c r="V42" s="3">
        <v>3.5151515007019043</v>
      </c>
      <c r="W42" s="33">
        <v>57.948417663574219</v>
      </c>
      <c r="X42" s="33">
        <v>9.75</v>
      </c>
      <c r="Y42" s="33">
        <v>160.875</v>
      </c>
      <c r="Z42" s="58">
        <v>45804</v>
      </c>
      <c r="AA42" s="12">
        <v>4</v>
      </c>
      <c r="AB42" s="12" t="s">
        <v>402</v>
      </c>
      <c r="AC42" s="2">
        <v>147</v>
      </c>
      <c r="AD42" s="2">
        <v>174</v>
      </c>
      <c r="AE42" s="2">
        <v>0</v>
      </c>
      <c r="AF42" s="12">
        <v>58.92</v>
      </c>
      <c r="AG42" s="3">
        <v>2.494908332824707</v>
      </c>
      <c r="AH42" s="3">
        <v>2.9531569480895996</v>
      </c>
      <c r="AI42" s="3">
        <v>3.1907672882080078</v>
      </c>
      <c r="AJ42" s="33">
        <v>62.569110870361328</v>
      </c>
      <c r="AK42" s="33">
        <v>8.0246520706042084</v>
      </c>
      <c r="AL42" s="33">
        <v>472.8125</v>
      </c>
      <c r="AM42" s="58">
        <v>45761</v>
      </c>
    </row>
    <row r="43" spans="1:39" x14ac:dyDescent="0.3">
      <c r="A43" s="12">
        <v>5</v>
      </c>
      <c r="B43" s="12" t="s">
        <v>408</v>
      </c>
      <c r="C43" s="2">
        <v>13</v>
      </c>
      <c r="D43" s="2">
        <v>13</v>
      </c>
      <c r="E43" s="2">
        <v>0</v>
      </c>
      <c r="F43" s="12">
        <v>3.34</v>
      </c>
      <c r="G43" s="3">
        <v>3.8922157287597656</v>
      </c>
      <c r="H43" s="3">
        <v>3.8922157287597656</v>
      </c>
      <c r="I43" s="3">
        <v>4.1916170120239258</v>
      </c>
      <c r="J43" s="33">
        <v>60.238880157470703</v>
      </c>
      <c r="K43" s="33">
        <v>10.179640718562874</v>
      </c>
      <c r="L43" s="33">
        <v>34</v>
      </c>
      <c r="M43" s="58">
        <v>45810</v>
      </c>
      <c r="N43" s="12">
        <v>5</v>
      </c>
      <c r="O43" s="12" t="s">
        <v>403</v>
      </c>
      <c r="P43" s="2">
        <v>38</v>
      </c>
      <c r="Q43" s="2">
        <v>49</v>
      </c>
      <c r="R43" s="2">
        <v>0</v>
      </c>
      <c r="S43" s="12">
        <v>16.78</v>
      </c>
      <c r="T43" s="3">
        <v>2.2646005153656006</v>
      </c>
      <c r="U43" s="3">
        <v>2.9201428890228271</v>
      </c>
      <c r="V43" s="3">
        <v>3.2777113914489746</v>
      </c>
      <c r="W43" s="33">
        <v>50.950946807861328</v>
      </c>
      <c r="X43" s="33">
        <v>11.080899880810488</v>
      </c>
      <c r="Y43" s="33">
        <v>185.9375</v>
      </c>
      <c r="Z43" s="58">
        <v>45776</v>
      </c>
      <c r="AA43" s="12">
        <v>5</v>
      </c>
      <c r="AB43" s="12" t="s">
        <v>404</v>
      </c>
      <c r="AC43" s="2">
        <v>123</v>
      </c>
      <c r="AD43" s="2">
        <v>157</v>
      </c>
      <c r="AE43" s="2">
        <v>0</v>
      </c>
      <c r="AF43" s="12">
        <v>58.97</v>
      </c>
      <c r="AG43" s="3">
        <v>2.0858063697814941</v>
      </c>
      <c r="AH43" s="3">
        <v>2.6623706817626953</v>
      </c>
      <c r="AI43" s="3">
        <v>2.8489062786102295</v>
      </c>
      <c r="AJ43" s="33">
        <v>52.278297424316406</v>
      </c>
      <c r="AK43" s="33">
        <v>8.7618704425979317</v>
      </c>
      <c r="AL43" s="33">
        <v>516.6875</v>
      </c>
      <c r="AM43" s="58">
        <v>45775</v>
      </c>
    </row>
    <row r="44" spans="1:39" x14ac:dyDescent="0.3">
      <c r="A44" s="12">
        <v>6</v>
      </c>
      <c r="B44" s="12" t="s">
        <v>400</v>
      </c>
      <c r="C44" s="2">
        <v>10</v>
      </c>
      <c r="D44" s="2">
        <v>11</v>
      </c>
      <c r="E44" s="2">
        <v>0</v>
      </c>
      <c r="F44" s="12">
        <v>3.42</v>
      </c>
      <c r="G44" s="3">
        <v>2.9239766597747803</v>
      </c>
      <c r="H44" s="3">
        <v>3.2163741588592529</v>
      </c>
      <c r="I44" s="3">
        <v>3.5087718963623047</v>
      </c>
      <c r="J44" s="33">
        <v>44.510051727294922</v>
      </c>
      <c r="K44" s="33">
        <v>8.6988304093567255</v>
      </c>
      <c r="L44" s="33">
        <v>29.75</v>
      </c>
      <c r="M44" s="58">
        <v>45704</v>
      </c>
      <c r="N44" s="12">
        <v>6</v>
      </c>
      <c r="O44" s="12" t="s">
        <v>406</v>
      </c>
      <c r="P44" s="2">
        <v>42</v>
      </c>
      <c r="Q44" s="2">
        <v>56</v>
      </c>
      <c r="R44" s="2">
        <v>0</v>
      </c>
      <c r="S44" s="12">
        <v>16.86</v>
      </c>
      <c r="T44" s="3">
        <v>2.4911031723022461</v>
      </c>
      <c r="U44" s="3">
        <v>3.3214707374572754</v>
      </c>
      <c r="V44" s="3">
        <v>3.4994068145751953</v>
      </c>
      <c r="W44" s="33">
        <v>55.860702514648438</v>
      </c>
      <c r="X44" s="33">
        <v>9.9940688018979831</v>
      </c>
      <c r="Y44" s="33">
        <v>168.5</v>
      </c>
      <c r="Z44" s="58">
        <v>45716</v>
      </c>
      <c r="AA44" s="12">
        <v>6</v>
      </c>
      <c r="AB44" s="12" t="s">
        <v>407</v>
      </c>
      <c r="AC44" s="2">
        <v>128</v>
      </c>
      <c r="AD44" s="2">
        <v>165</v>
      </c>
      <c r="AE44" s="2">
        <v>0</v>
      </c>
      <c r="AF44" s="12">
        <v>59.12</v>
      </c>
      <c r="AG44" s="3">
        <v>2.1650879383087158</v>
      </c>
      <c r="AH44" s="3">
        <v>2.7909338474273682</v>
      </c>
      <c r="AI44" s="3">
        <v>2.9769959449768066</v>
      </c>
      <c r="AJ44" s="33">
        <v>54.168987274169922</v>
      </c>
      <c r="AK44" s="33">
        <v>7.4372039918809207</v>
      </c>
      <c r="AL44" s="33">
        <v>439.6875</v>
      </c>
      <c r="AM44" s="58">
        <v>45750</v>
      </c>
    </row>
  </sheetData>
  <phoneticPr fontId="1" type="noConversion"/>
  <conditionalFormatting sqref="M1:M1048576 Z1:Z1048576 AM1:AM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99"/>
  </sheetPr>
  <dimension ref="A1:AM44"/>
  <sheetViews>
    <sheetView topLeftCell="B1" workbookViewId="0">
      <pane ySplit="1" topLeftCell="A2" activePane="bottomLeft" state="frozen"/>
      <selection pane="bottomLeft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7" width="3.843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4.613281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75</v>
      </c>
      <c r="M1" s="96" t="s">
        <v>149</v>
      </c>
      <c r="N1" s="14" t="str">
        <f>time!N1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75</v>
      </c>
      <c r="Z1" s="96" t="s">
        <v>149</v>
      </c>
      <c r="AA1" s="14" t="str">
        <f>time!AA1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75</v>
      </c>
      <c r="AM1" s="96" t="s">
        <v>149</v>
      </c>
    </row>
    <row r="2" spans="1:39" x14ac:dyDescent="0.3">
      <c r="A2" s="12">
        <v>1</v>
      </c>
      <c r="B2" s="12" t="s">
        <v>408</v>
      </c>
      <c r="C2" s="2">
        <v>27</v>
      </c>
      <c r="D2" s="2">
        <v>27</v>
      </c>
      <c r="E2" s="2">
        <v>0</v>
      </c>
      <c r="F2" s="16">
        <v>5.78</v>
      </c>
      <c r="G2" s="155">
        <v>4.6712799072265625</v>
      </c>
      <c r="H2" s="155">
        <v>4.6712799072265625</v>
      </c>
      <c r="I2" s="23">
        <v>5.017301082611084</v>
      </c>
      <c r="J2" s="158">
        <v>49.248035430908203</v>
      </c>
      <c r="K2" s="33">
        <v>9.9913494809688572</v>
      </c>
      <c r="L2" s="33">
        <v>57.75</v>
      </c>
      <c r="M2" s="58">
        <v>45763</v>
      </c>
      <c r="N2" s="12">
        <v>1</v>
      </c>
      <c r="O2" s="12" t="s">
        <v>459</v>
      </c>
      <c r="P2" s="2">
        <v>100</v>
      </c>
      <c r="Q2" s="2">
        <v>111</v>
      </c>
      <c r="R2" s="2">
        <v>0</v>
      </c>
      <c r="S2" s="88">
        <v>27.72</v>
      </c>
      <c r="T2" s="161">
        <v>3.6075036525726318</v>
      </c>
      <c r="U2" s="95">
        <v>4.0043292045593262</v>
      </c>
      <c r="V2" s="162">
        <v>4.2568545341491699</v>
      </c>
      <c r="W2" s="159">
        <v>57.117153167724609</v>
      </c>
      <c r="X2" s="33">
        <v>9.2284451659451658</v>
      </c>
      <c r="Y2" s="33">
        <v>255.8125</v>
      </c>
      <c r="Z2" s="58">
        <v>45793</v>
      </c>
      <c r="AA2" s="12">
        <v>1</v>
      </c>
      <c r="AB2" s="12" t="s">
        <v>460</v>
      </c>
      <c r="AC2" s="2">
        <v>199</v>
      </c>
      <c r="AD2" s="2">
        <v>219</v>
      </c>
      <c r="AE2" s="2">
        <v>0</v>
      </c>
      <c r="AF2" s="84">
        <v>66.760000000000005</v>
      </c>
      <c r="AG2" s="160">
        <v>2.9808268547058105</v>
      </c>
      <c r="AH2" s="154">
        <v>3.2804074287414551</v>
      </c>
      <c r="AI2" s="154">
        <v>3.4451766014099121</v>
      </c>
      <c r="AJ2" s="166">
        <v>68.495895385742188</v>
      </c>
      <c r="AK2" s="33">
        <v>8.9995880766926302</v>
      </c>
      <c r="AL2" s="33">
        <v>600.8125</v>
      </c>
      <c r="AM2" s="58">
        <v>45779</v>
      </c>
    </row>
    <row r="3" spans="1:39" x14ac:dyDescent="0.3">
      <c r="A3" s="12">
        <v>2</v>
      </c>
      <c r="B3" s="12" t="s">
        <v>397</v>
      </c>
      <c r="C3" s="2">
        <v>20</v>
      </c>
      <c r="D3" s="2">
        <v>20</v>
      </c>
      <c r="E3" s="2">
        <v>0</v>
      </c>
      <c r="F3" s="15">
        <v>4.8099999999999996</v>
      </c>
      <c r="G3" s="95">
        <v>4.1580042839050293</v>
      </c>
      <c r="H3" s="95">
        <v>4.1580042839050293</v>
      </c>
      <c r="I3" s="155">
        <v>4.5738048553466797</v>
      </c>
      <c r="J3" s="158">
        <v>49.852375030517578</v>
      </c>
      <c r="K3" s="33">
        <v>8.2250519750519757</v>
      </c>
      <c r="L3" s="33">
        <v>39.5625</v>
      </c>
      <c r="M3" s="58">
        <v>45762</v>
      </c>
      <c r="N3" s="12">
        <v>2</v>
      </c>
      <c r="O3" s="12" t="s">
        <v>461</v>
      </c>
      <c r="P3" s="2">
        <v>80</v>
      </c>
      <c r="Q3" s="2">
        <v>93</v>
      </c>
      <c r="R3" s="2">
        <v>0</v>
      </c>
      <c r="S3" s="86">
        <v>23.28</v>
      </c>
      <c r="T3" s="154">
        <v>3.4364259243011475</v>
      </c>
      <c r="U3" s="156">
        <v>3.9948451519012451</v>
      </c>
      <c r="V3" s="95">
        <v>4.2096219062805176</v>
      </c>
      <c r="W3" s="159">
        <v>61.480010986328125</v>
      </c>
      <c r="X3" s="33">
        <v>9.715957903780069</v>
      </c>
      <c r="Y3" s="33">
        <v>226.1875</v>
      </c>
      <c r="Z3" s="58">
        <v>45810</v>
      </c>
      <c r="AA3" s="12">
        <v>2</v>
      </c>
      <c r="AB3" s="12" t="s">
        <v>462</v>
      </c>
      <c r="AC3" s="2">
        <v>233</v>
      </c>
      <c r="AD3" s="2">
        <v>272</v>
      </c>
      <c r="AE3" s="2">
        <v>0</v>
      </c>
      <c r="AF3" s="87">
        <v>79.45</v>
      </c>
      <c r="AG3" s="160">
        <v>2.9326622486114502</v>
      </c>
      <c r="AH3" s="154">
        <v>3.423537015914917</v>
      </c>
      <c r="AI3" s="161">
        <v>3.5745754241943359</v>
      </c>
      <c r="AJ3" s="159">
        <v>59.660320281982422</v>
      </c>
      <c r="AK3" s="33">
        <v>8.3480176211453738</v>
      </c>
      <c r="AL3" s="33">
        <v>663.25</v>
      </c>
      <c r="AM3" s="58">
        <v>45779</v>
      </c>
    </row>
    <row r="4" spans="1:39" x14ac:dyDescent="0.3">
      <c r="A4" s="12">
        <v>3</v>
      </c>
      <c r="B4" s="12" t="s">
        <v>463</v>
      </c>
      <c r="C4" s="2">
        <v>24</v>
      </c>
      <c r="D4" s="2">
        <v>27</v>
      </c>
      <c r="E4" s="2">
        <v>0</v>
      </c>
      <c r="F4" s="16">
        <v>5.91</v>
      </c>
      <c r="G4" s="95">
        <v>4.0609140396118164</v>
      </c>
      <c r="H4" s="155">
        <v>4.5685281753540039</v>
      </c>
      <c r="I4" s="23">
        <v>5.0761423110961914</v>
      </c>
      <c r="J4" s="158">
        <v>42.151695251464844</v>
      </c>
      <c r="K4" s="33">
        <v>8.7563451776649739</v>
      </c>
      <c r="L4" s="33">
        <v>51.75</v>
      </c>
      <c r="M4" s="58">
        <v>45793</v>
      </c>
      <c r="N4" s="12">
        <v>3</v>
      </c>
      <c r="O4" s="12" t="s">
        <v>461</v>
      </c>
      <c r="P4" s="2">
        <v>99</v>
      </c>
      <c r="Q4" s="2">
        <v>113</v>
      </c>
      <c r="R4" s="2">
        <v>0</v>
      </c>
      <c r="S4" s="168">
        <v>29.36</v>
      </c>
      <c r="T4" s="154">
        <v>3.3719346523284912</v>
      </c>
      <c r="U4" s="156">
        <v>3.848773717880249</v>
      </c>
      <c r="V4" s="95">
        <v>4.087193489074707</v>
      </c>
      <c r="W4" s="157">
        <v>51.281993865966797</v>
      </c>
      <c r="X4" s="33">
        <v>8.2999829700272478</v>
      </c>
      <c r="Y4" s="33">
        <v>243.6875</v>
      </c>
      <c r="Z4" s="58">
        <v>45763</v>
      </c>
      <c r="AA4" s="12">
        <v>3</v>
      </c>
      <c r="AB4" s="12" t="s">
        <v>465</v>
      </c>
      <c r="AC4" s="2">
        <v>196</v>
      </c>
      <c r="AD4" s="2">
        <v>229</v>
      </c>
      <c r="AE4" s="2">
        <v>0</v>
      </c>
      <c r="AF4" s="84">
        <v>67</v>
      </c>
      <c r="AG4" s="160">
        <v>2.9253730773925781</v>
      </c>
      <c r="AH4" s="154">
        <v>3.4179103374481201</v>
      </c>
      <c r="AI4" s="161">
        <v>3.5373134613037109</v>
      </c>
      <c r="AJ4" s="166">
        <v>67.052993774414063</v>
      </c>
      <c r="AK4" s="33">
        <v>9.2434701492537314</v>
      </c>
      <c r="AL4" s="33">
        <v>619.3125</v>
      </c>
      <c r="AM4" s="58">
        <v>45782</v>
      </c>
    </row>
    <row r="5" spans="1:39" x14ac:dyDescent="0.3">
      <c r="A5" s="12">
        <v>4</v>
      </c>
      <c r="B5" s="12" t="s">
        <v>433</v>
      </c>
      <c r="C5" s="2">
        <v>19</v>
      </c>
      <c r="D5" s="2">
        <v>22</v>
      </c>
      <c r="E5" s="2">
        <v>0</v>
      </c>
      <c r="F5" s="15">
        <v>4.68</v>
      </c>
      <c r="G5" s="95">
        <v>4.0598292350769043</v>
      </c>
      <c r="H5" s="155">
        <v>4.7008547782897949</v>
      </c>
      <c r="I5" s="170">
        <v>4.9145302772521973</v>
      </c>
      <c r="J5" s="158">
        <v>49.617877960205078</v>
      </c>
      <c r="K5" s="33">
        <v>7.6388888888888893</v>
      </c>
      <c r="L5" s="33">
        <v>35.75</v>
      </c>
      <c r="M5" s="58">
        <v>45765</v>
      </c>
      <c r="N5" s="12">
        <v>4</v>
      </c>
      <c r="O5" s="12" t="s">
        <v>464</v>
      </c>
      <c r="P5" s="2">
        <v>88</v>
      </c>
      <c r="Q5" s="2">
        <v>98</v>
      </c>
      <c r="R5" s="2">
        <v>0</v>
      </c>
      <c r="S5" s="88">
        <v>26.13</v>
      </c>
      <c r="T5" s="154">
        <v>3.36777663230896</v>
      </c>
      <c r="U5" s="156">
        <v>3.7504785060882568</v>
      </c>
      <c r="V5" s="95">
        <v>4.0183696746826172</v>
      </c>
      <c r="W5" s="157">
        <v>55.572601318359375</v>
      </c>
      <c r="X5" s="33">
        <v>7.7497129735935708</v>
      </c>
      <c r="Y5" s="33">
        <v>202.5</v>
      </c>
      <c r="Z5" s="58">
        <v>45777</v>
      </c>
      <c r="AA5" s="12">
        <v>4</v>
      </c>
      <c r="AB5" s="12" t="s">
        <v>410</v>
      </c>
      <c r="AC5" s="2">
        <v>171</v>
      </c>
      <c r="AD5" s="2">
        <v>193</v>
      </c>
      <c r="AE5" s="2">
        <v>0</v>
      </c>
      <c r="AF5" s="16">
        <v>59.24</v>
      </c>
      <c r="AG5" s="160">
        <v>2.8865630626678467</v>
      </c>
      <c r="AH5" s="154">
        <v>3.2579338550567627</v>
      </c>
      <c r="AI5" s="154">
        <v>3.4098579883575439</v>
      </c>
      <c r="AJ5" s="163">
        <v>72.117347717285156</v>
      </c>
      <c r="AK5" s="33">
        <v>8.2904287643484125</v>
      </c>
      <c r="AL5" s="33">
        <v>491.125</v>
      </c>
      <c r="AM5" s="58">
        <v>45801</v>
      </c>
    </row>
    <row r="6" spans="1:39" x14ac:dyDescent="0.3">
      <c r="A6" s="12">
        <v>5</v>
      </c>
      <c r="B6" s="12" t="s">
        <v>408</v>
      </c>
      <c r="C6" s="2">
        <v>24</v>
      </c>
      <c r="D6" s="2">
        <v>24</v>
      </c>
      <c r="E6" s="2">
        <v>0</v>
      </c>
      <c r="F6" s="16">
        <v>5.93</v>
      </c>
      <c r="G6" s="95">
        <v>4.047217845916748</v>
      </c>
      <c r="H6" s="95">
        <v>4.047217845916748</v>
      </c>
      <c r="I6" s="95">
        <v>4.2158517837524414</v>
      </c>
      <c r="J6" s="158">
        <v>41.910301208496094</v>
      </c>
      <c r="K6" s="33">
        <v>8.0733558178752105</v>
      </c>
      <c r="L6" s="33">
        <v>47.875</v>
      </c>
      <c r="M6" s="58">
        <v>45766</v>
      </c>
      <c r="N6" s="12">
        <v>5</v>
      </c>
      <c r="O6" s="12" t="s">
        <v>466</v>
      </c>
      <c r="P6" s="2">
        <v>93</v>
      </c>
      <c r="Q6" s="2">
        <v>110</v>
      </c>
      <c r="R6" s="2">
        <v>0</v>
      </c>
      <c r="S6" s="88">
        <v>27.82</v>
      </c>
      <c r="T6" s="154">
        <v>3.342918872833252</v>
      </c>
      <c r="U6" s="156">
        <v>3.9539899826049805</v>
      </c>
      <c r="V6" s="95">
        <v>4.2056074142456055</v>
      </c>
      <c r="W6" s="157">
        <v>52.794765472412109</v>
      </c>
      <c r="X6" s="33">
        <v>7.928199137311287</v>
      </c>
      <c r="Y6" s="33">
        <v>220.5625</v>
      </c>
      <c r="Z6" s="58">
        <v>45780</v>
      </c>
      <c r="AA6" s="12">
        <v>5</v>
      </c>
      <c r="AB6" s="12" t="s">
        <v>439</v>
      </c>
      <c r="AC6" s="2">
        <v>178</v>
      </c>
      <c r="AD6" s="2">
        <v>209</v>
      </c>
      <c r="AE6" s="2">
        <v>0</v>
      </c>
      <c r="AF6" s="82">
        <v>62.07</v>
      </c>
      <c r="AG6" s="160">
        <v>2.8677299022674561</v>
      </c>
      <c r="AH6" s="154">
        <v>3.3671660423278809</v>
      </c>
      <c r="AI6" s="161">
        <v>3.5766069889068604</v>
      </c>
      <c r="AJ6" s="163">
        <v>69.344223022460938</v>
      </c>
      <c r="AK6" s="33">
        <v>8.7189866280006445</v>
      </c>
      <c r="AL6" s="33">
        <v>541.1875</v>
      </c>
      <c r="AM6" s="58">
        <v>45779</v>
      </c>
    </row>
    <row r="7" spans="1:39" x14ac:dyDescent="0.3">
      <c r="A7" s="12">
        <v>6</v>
      </c>
      <c r="B7" s="12" t="s">
        <v>408</v>
      </c>
      <c r="C7" s="2">
        <v>25</v>
      </c>
      <c r="D7" s="2">
        <v>25</v>
      </c>
      <c r="E7" s="2">
        <v>0</v>
      </c>
      <c r="F7" s="82">
        <v>6.18</v>
      </c>
      <c r="G7" s="95">
        <v>4.0453076362609863</v>
      </c>
      <c r="H7" s="95">
        <v>4.0453076362609863</v>
      </c>
      <c r="I7" s="95">
        <v>4.2071199417114258</v>
      </c>
      <c r="J7" s="158">
        <v>40.696975708007813</v>
      </c>
      <c r="K7" s="33">
        <v>7.0287216828478964</v>
      </c>
      <c r="L7" s="33">
        <v>43.4375</v>
      </c>
      <c r="M7" s="58">
        <v>45763</v>
      </c>
      <c r="N7" s="12">
        <v>6</v>
      </c>
      <c r="O7" s="12" t="s">
        <v>406</v>
      </c>
      <c r="P7" s="2">
        <v>72</v>
      </c>
      <c r="Q7" s="2">
        <v>86</v>
      </c>
      <c r="R7" s="2">
        <v>0</v>
      </c>
      <c r="S7" s="85">
        <v>21.66</v>
      </c>
      <c r="T7" s="154">
        <v>3.3240997791290283</v>
      </c>
      <c r="U7" s="156">
        <v>3.9704525470733643</v>
      </c>
      <c r="V7" s="95">
        <v>4.2474608421325684</v>
      </c>
      <c r="W7" s="166">
        <v>62.550117492675781</v>
      </c>
      <c r="X7" s="33">
        <v>7.9062788550323173</v>
      </c>
      <c r="Y7" s="33">
        <v>171.25</v>
      </c>
      <c r="Z7" s="58">
        <v>45716</v>
      </c>
      <c r="AA7" s="12">
        <v>6</v>
      </c>
      <c r="AB7" s="12" t="s">
        <v>468</v>
      </c>
      <c r="AC7" s="2">
        <v>196</v>
      </c>
      <c r="AD7" s="2">
        <v>229</v>
      </c>
      <c r="AE7" s="2">
        <v>0</v>
      </c>
      <c r="AF7" s="85">
        <v>68.77</v>
      </c>
      <c r="AG7" s="160">
        <v>2.8500800132751465</v>
      </c>
      <c r="AH7" s="154">
        <v>3.3299405574798584</v>
      </c>
      <c r="AI7" s="161">
        <v>3.5189764499664307</v>
      </c>
      <c r="AJ7" s="166">
        <v>64.145622253417969</v>
      </c>
      <c r="AK7" s="33">
        <v>7.7322960593281955</v>
      </c>
      <c r="AL7" s="33">
        <v>531.75</v>
      </c>
      <c r="AM7" s="58">
        <v>45768</v>
      </c>
    </row>
    <row r="8" spans="1:39" x14ac:dyDescent="0.3">
      <c r="A8" s="12">
        <v>7</v>
      </c>
      <c r="B8" s="12" t="s">
        <v>433</v>
      </c>
      <c r="C8" s="2">
        <v>18</v>
      </c>
      <c r="D8" s="2">
        <v>21</v>
      </c>
      <c r="E8" s="2">
        <v>0</v>
      </c>
      <c r="F8" s="15">
        <v>4.58</v>
      </c>
      <c r="G8" s="156">
        <v>3.9301309585571289</v>
      </c>
      <c r="H8" s="155">
        <v>4.5851531028747559</v>
      </c>
      <c r="I8" s="170">
        <v>4.8034934997558594</v>
      </c>
      <c r="J8" s="158">
        <v>48.764492034912109</v>
      </c>
      <c r="K8" s="33">
        <v>8.9929039301310034</v>
      </c>
      <c r="L8" s="33">
        <v>41.1875</v>
      </c>
      <c r="M8" s="58">
        <v>45810</v>
      </c>
      <c r="N8" s="12">
        <v>7</v>
      </c>
      <c r="O8" s="12" t="s">
        <v>467</v>
      </c>
      <c r="P8" s="2">
        <v>66</v>
      </c>
      <c r="Q8" s="2">
        <v>80</v>
      </c>
      <c r="R8" s="2">
        <v>0</v>
      </c>
      <c r="S8" s="84">
        <v>20.149999999999999</v>
      </c>
      <c r="T8" s="154">
        <v>3.2754342555999756</v>
      </c>
      <c r="U8" s="156">
        <v>3.9702234268188477</v>
      </c>
      <c r="V8" s="95">
        <v>4.2183623313903809</v>
      </c>
      <c r="W8" s="166">
        <v>64.832290649414063</v>
      </c>
      <c r="X8" s="33">
        <v>9.3796526054590572</v>
      </c>
      <c r="Y8" s="33">
        <v>189</v>
      </c>
      <c r="Z8" s="58">
        <v>45800</v>
      </c>
      <c r="AA8" s="12">
        <v>7</v>
      </c>
      <c r="AB8" s="12" t="s">
        <v>469</v>
      </c>
      <c r="AC8" s="2">
        <v>224</v>
      </c>
      <c r="AD8" s="2">
        <v>259</v>
      </c>
      <c r="AE8" s="2">
        <v>0</v>
      </c>
      <c r="AF8" s="87">
        <v>78.69</v>
      </c>
      <c r="AG8" s="160">
        <v>2.8466131687164307</v>
      </c>
      <c r="AH8" s="154">
        <v>3.2913966178894043</v>
      </c>
      <c r="AI8" s="154">
        <v>3.4693098068237305</v>
      </c>
      <c r="AJ8" s="159">
        <v>58.300735473632813</v>
      </c>
      <c r="AK8" s="33">
        <v>8.2809124412250608</v>
      </c>
      <c r="AL8" s="33">
        <v>651.625</v>
      </c>
      <c r="AM8" s="58">
        <v>45785</v>
      </c>
    </row>
    <row r="9" spans="1:39" x14ac:dyDescent="0.3">
      <c r="A9" s="12">
        <v>8</v>
      </c>
      <c r="B9" s="12" t="s">
        <v>408</v>
      </c>
      <c r="C9" s="2">
        <v>20</v>
      </c>
      <c r="D9" s="2">
        <v>20</v>
      </c>
      <c r="E9" s="2">
        <v>0</v>
      </c>
      <c r="F9" s="81">
        <v>5.09</v>
      </c>
      <c r="G9" s="156">
        <v>3.9292728900909424</v>
      </c>
      <c r="H9" s="156">
        <v>3.9292728900909424</v>
      </c>
      <c r="I9" s="95">
        <v>4.1257367134094238</v>
      </c>
      <c r="J9" s="158">
        <v>45.280609130859375</v>
      </c>
      <c r="K9" s="33">
        <v>7.3551080550098238</v>
      </c>
      <c r="L9" s="33">
        <v>37.4375</v>
      </c>
      <c r="M9" s="58">
        <v>45706</v>
      </c>
      <c r="N9" s="12">
        <v>8</v>
      </c>
      <c r="O9" s="12" t="s">
        <v>440</v>
      </c>
      <c r="P9" s="2">
        <v>92</v>
      </c>
      <c r="Q9" s="2">
        <v>107</v>
      </c>
      <c r="R9" s="2">
        <v>0</v>
      </c>
      <c r="S9" s="168">
        <v>28.26</v>
      </c>
      <c r="T9" s="154">
        <v>3.2554848194122314</v>
      </c>
      <c r="U9" s="156">
        <v>3.7862703800201416</v>
      </c>
      <c r="V9" s="95">
        <v>4.2108988761901855</v>
      </c>
      <c r="W9" s="157">
        <v>50.852249145507813</v>
      </c>
      <c r="X9" s="33">
        <v>8.9879688605803256</v>
      </c>
      <c r="Y9" s="33">
        <v>254</v>
      </c>
      <c r="Z9" s="58">
        <v>45805</v>
      </c>
      <c r="AA9" s="12">
        <v>8</v>
      </c>
      <c r="AB9" s="12" t="s">
        <v>399</v>
      </c>
      <c r="AC9" s="2">
        <v>221</v>
      </c>
      <c r="AD9" s="2">
        <v>253</v>
      </c>
      <c r="AE9" s="2">
        <v>0</v>
      </c>
      <c r="AF9" s="87">
        <v>77.930000000000007</v>
      </c>
      <c r="AG9" s="160">
        <v>2.8358783721923828</v>
      </c>
      <c r="AH9" s="165">
        <v>3.2465033531188965</v>
      </c>
      <c r="AI9" s="154">
        <v>3.4133195877075195</v>
      </c>
      <c r="AJ9" s="159">
        <v>58.476795196533203</v>
      </c>
      <c r="AK9" s="33">
        <v>7.8098934941614262</v>
      </c>
      <c r="AL9" s="33">
        <v>608.625</v>
      </c>
      <c r="AM9" s="58">
        <v>45733</v>
      </c>
    </row>
    <row r="10" spans="1:39" x14ac:dyDescent="0.3">
      <c r="A10" s="12">
        <v>9</v>
      </c>
      <c r="B10" s="12" t="s">
        <v>397</v>
      </c>
      <c r="C10" s="2">
        <v>21</v>
      </c>
      <c r="D10" s="2">
        <v>21</v>
      </c>
      <c r="E10" s="2">
        <v>0</v>
      </c>
      <c r="F10" s="81">
        <v>5.35</v>
      </c>
      <c r="G10" s="156">
        <v>3.9252336025238037</v>
      </c>
      <c r="H10" s="156">
        <v>3.9252336025238037</v>
      </c>
      <c r="I10" s="95">
        <v>4.112149715423584</v>
      </c>
      <c r="J10" s="158">
        <v>43.683795928955078</v>
      </c>
      <c r="K10" s="33">
        <v>8.7383177570093462</v>
      </c>
      <c r="L10" s="33">
        <v>46.75</v>
      </c>
      <c r="M10" s="58">
        <v>45810</v>
      </c>
      <c r="N10" s="12">
        <v>9</v>
      </c>
      <c r="O10" s="12" t="s">
        <v>830</v>
      </c>
      <c r="P10" s="2">
        <v>60</v>
      </c>
      <c r="Q10" s="2">
        <v>71</v>
      </c>
      <c r="R10" s="2">
        <v>0</v>
      </c>
      <c r="S10" s="82">
        <v>18.440000000000001</v>
      </c>
      <c r="T10" s="154">
        <v>3.2537961006164551</v>
      </c>
      <c r="U10" s="156">
        <v>3.850325345993042</v>
      </c>
      <c r="V10" s="95">
        <v>4.2299346923828125</v>
      </c>
      <c r="W10" s="166">
        <v>68.528732299804688</v>
      </c>
      <c r="X10" s="33">
        <v>9.4495661605206074</v>
      </c>
      <c r="Y10" s="33">
        <v>174.25</v>
      </c>
      <c r="Z10" s="58">
        <v>45810</v>
      </c>
      <c r="AA10" s="12">
        <v>9</v>
      </c>
      <c r="AB10" s="12" t="s">
        <v>470</v>
      </c>
      <c r="AC10" s="2">
        <v>207</v>
      </c>
      <c r="AD10" s="2">
        <v>235</v>
      </c>
      <c r="AE10" s="2">
        <v>0</v>
      </c>
      <c r="AF10" s="86">
        <v>73.41</v>
      </c>
      <c r="AG10" s="160">
        <v>2.8197791576385498</v>
      </c>
      <c r="AH10" s="165">
        <v>3.2011985778808594</v>
      </c>
      <c r="AI10" s="154">
        <v>3.296553373336792</v>
      </c>
      <c r="AJ10" s="159">
        <v>60.628341674804688</v>
      </c>
      <c r="AK10" s="33">
        <v>8.6866571311810379</v>
      </c>
      <c r="AL10" s="33">
        <v>637.6875</v>
      </c>
      <c r="AM10" s="58">
        <v>45772</v>
      </c>
    </row>
    <row r="11" spans="1:39" x14ac:dyDescent="0.3">
      <c r="A11" s="12">
        <v>10</v>
      </c>
      <c r="B11" s="12" t="s">
        <v>433</v>
      </c>
      <c r="C11" s="2">
        <v>27</v>
      </c>
      <c r="D11" s="2">
        <v>29</v>
      </c>
      <c r="E11" s="2">
        <v>0</v>
      </c>
      <c r="F11" s="171">
        <v>6.88</v>
      </c>
      <c r="G11" s="156">
        <v>3.9244184494018555</v>
      </c>
      <c r="H11" s="95">
        <v>4.215116024017334</v>
      </c>
      <c r="I11" s="155">
        <v>4.5058140754699707</v>
      </c>
      <c r="J11" s="172">
        <v>36.624011993408203</v>
      </c>
      <c r="K11" s="33">
        <v>7.9941860465116283</v>
      </c>
      <c r="L11" s="33">
        <v>55</v>
      </c>
      <c r="M11" s="58">
        <v>45765</v>
      </c>
      <c r="N11" s="12">
        <v>10</v>
      </c>
      <c r="O11" s="12" t="s">
        <v>415</v>
      </c>
      <c r="P11" s="2">
        <v>83</v>
      </c>
      <c r="Q11" s="2">
        <v>98</v>
      </c>
      <c r="R11" s="2">
        <v>0</v>
      </c>
      <c r="S11" s="87">
        <v>25.67</v>
      </c>
      <c r="T11" s="165">
        <v>3.2333462238311768</v>
      </c>
      <c r="U11" s="156">
        <v>3.8176860809326172</v>
      </c>
      <c r="V11" s="95">
        <v>4.1682896614074707</v>
      </c>
      <c r="W11" s="157">
        <v>54.021808624267578</v>
      </c>
      <c r="X11" s="33">
        <v>9.1351772497078301</v>
      </c>
      <c r="Y11" s="33">
        <v>234.5</v>
      </c>
      <c r="Z11" s="58">
        <v>45767</v>
      </c>
      <c r="AA11" s="12">
        <v>10</v>
      </c>
      <c r="AB11" s="12" t="s">
        <v>472</v>
      </c>
      <c r="AC11" s="2">
        <v>220</v>
      </c>
      <c r="AD11" s="2">
        <v>256</v>
      </c>
      <c r="AE11" s="2">
        <v>0</v>
      </c>
      <c r="AF11" s="87">
        <v>78.48</v>
      </c>
      <c r="AG11" s="160">
        <v>2.8032617568969727</v>
      </c>
      <c r="AH11" s="154">
        <v>3.2619774341583252</v>
      </c>
      <c r="AI11" s="154">
        <v>3.478593111038208</v>
      </c>
      <c r="AJ11" s="159">
        <v>57.520362854003906</v>
      </c>
      <c r="AK11" s="33">
        <v>8.3771343017329247</v>
      </c>
      <c r="AL11" s="33">
        <v>657.4375</v>
      </c>
      <c r="AM11" s="58">
        <v>45790</v>
      </c>
    </row>
    <row r="12" spans="1:39" x14ac:dyDescent="0.3">
      <c r="A12" s="12">
        <v>11</v>
      </c>
      <c r="B12" s="12" t="s">
        <v>397</v>
      </c>
      <c r="C12" s="2">
        <v>27</v>
      </c>
      <c r="D12" s="2">
        <v>29</v>
      </c>
      <c r="E12" s="2">
        <v>0</v>
      </c>
      <c r="F12" s="171">
        <v>6.9</v>
      </c>
      <c r="G12" s="156">
        <v>3.9130434989929199</v>
      </c>
      <c r="H12" s="95">
        <v>4.2028985023498535</v>
      </c>
      <c r="I12" s="162">
        <v>4.4927535057067871</v>
      </c>
      <c r="J12" s="172">
        <v>36.443729400634766</v>
      </c>
      <c r="K12" s="33">
        <v>8.9039855072463769</v>
      </c>
      <c r="L12" s="33">
        <v>61.4375</v>
      </c>
      <c r="M12" s="58">
        <v>45761</v>
      </c>
      <c r="N12" s="12">
        <v>11</v>
      </c>
      <c r="O12" s="12" t="s">
        <v>454</v>
      </c>
      <c r="P12" s="2">
        <v>78</v>
      </c>
      <c r="Q12" s="2">
        <v>93</v>
      </c>
      <c r="R12" s="2">
        <v>0</v>
      </c>
      <c r="S12" s="87">
        <v>24.13</v>
      </c>
      <c r="T12" s="165">
        <v>3.2324907779693604</v>
      </c>
      <c r="U12" s="156">
        <v>3.854123592376709</v>
      </c>
      <c r="V12" s="95">
        <v>4.0198922157287598</v>
      </c>
      <c r="W12" s="159">
        <v>56.397804260253906</v>
      </c>
      <c r="X12" s="33">
        <v>8.4904682967260676</v>
      </c>
      <c r="Y12" s="33">
        <v>204.875</v>
      </c>
      <c r="Z12" s="58">
        <v>45763</v>
      </c>
      <c r="AA12" s="12">
        <v>11</v>
      </c>
      <c r="AB12" s="12" t="s">
        <v>429</v>
      </c>
      <c r="AC12" s="2">
        <v>172</v>
      </c>
      <c r="AD12" s="2">
        <v>210</v>
      </c>
      <c r="AE12" s="2">
        <v>0</v>
      </c>
      <c r="AF12" s="82">
        <v>61.62</v>
      </c>
      <c r="AG12" s="160">
        <v>2.7913014888763428</v>
      </c>
      <c r="AH12" s="154">
        <v>3.4079844951629639</v>
      </c>
      <c r="AI12" s="161">
        <v>3.6189548969268799</v>
      </c>
      <c r="AJ12" s="166">
        <v>67.840782165527344</v>
      </c>
      <c r="AK12" s="33">
        <v>8.6355890944498537</v>
      </c>
      <c r="AL12" s="33">
        <v>532.125</v>
      </c>
      <c r="AM12" s="58">
        <v>45783</v>
      </c>
    </row>
    <row r="13" spans="1:39" x14ac:dyDescent="0.3">
      <c r="A13" s="12">
        <v>12</v>
      </c>
      <c r="B13" s="12" t="s">
        <v>397</v>
      </c>
      <c r="C13" s="2">
        <v>13</v>
      </c>
      <c r="D13" s="2">
        <v>13</v>
      </c>
      <c r="E13" s="2">
        <v>0</v>
      </c>
      <c r="F13" s="79">
        <v>3.33</v>
      </c>
      <c r="G13" s="156">
        <v>3.9039039611816406</v>
      </c>
      <c r="H13" s="156">
        <v>3.9039039611816406</v>
      </c>
      <c r="I13" s="95">
        <v>4.2042040824890137</v>
      </c>
      <c r="J13" s="159">
        <v>60.546730041503906</v>
      </c>
      <c r="K13" s="33">
        <v>10.341591591591591</v>
      </c>
      <c r="L13" s="33">
        <v>34.4375</v>
      </c>
      <c r="M13" s="58">
        <v>45807</v>
      </c>
      <c r="N13" s="12">
        <v>12</v>
      </c>
      <c r="O13" s="12" t="s">
        <v>471</v>
      </c>
      <c r="P13" s="2">
        <v>75</v>
      </c>
      <c r="Q13" s="2">
        <v>88</v>
      </c>
      <c r="R13" s="2">
        <v>0</v>
      </c>
      <c r="S13" s="86">
        <v>23.26</v>
      </c>
      <c r="T13" s="165">
        <v>3.2244195938110352</v>
      </c>
      <c r="U13" s="156">
        <v>3.7833189964294434</v>
      </c>
      <c r="V13" s="95">
        <v>4.2132415771484375</v>
      </c>
      <c r="W13" s="159">
        <v>57.721786499023438</v>
      </c>
      <c r="X13" s="33">
        <v>9.5120378331900248</v>
      </c>
      <c r="Y13" s="33">
        <v>221.25</v>
      </c>
      <c r="Z13" s="58">
        <v>45793</v>
      </c>
      <c r="AA13" s="12">
        <v>12</v>
      </c>
      <c r="AB13" s="12" t="s">
        <v>473</v>
      </c>
      <c r="AC13" s="2">
        <v>194</v>
      </c>
      <c r="AD13" s="2">
        <v>232</v>
      </c>
      <c r="AE13" s="2">
        <v>0</v>
      </c>
      <c r="AF13" s="85">
        <v>69.680000000000007</v>
      </c>
      <c r="AG13" s="160">
        <v>2.7841560840606689</v>
      </c>
      <c r="AH13" s="154">
        <v>3.3295063972473145</v>
      </c>
      <c r="AI13" s="161">
        <v>3.6021814346313477</v>
      </c>
      <c r="AJ13" s="159">
        <v>62.087924957275391</v>
      </c>
      <c r="AK13" s="33">
        <v>8.6744761768082661</v>
      </c>
      <c r="AL13" s="33">
        <v>604.4375</v>
      </c>
      <c r="AM13" s="58">
        <v>45807</v>
      </c>
    </row>
    <row r="14" spans="1:39" x14ac:dyDescent="0.3">
      <c r="A14" s="12">
        <v>13</v>
      </c>
      <c r="B14" s="12" t="s">
        <v>453</v>
      </c>
      <c r="C14" s="2">
        <v>22</v>
      </c>
      <c r="D14" s="2">
        <v>26</v>
      </c>
      <c r="E14" s="2">
        <v>0</v>
      </c>
      <c r="F14" s="16">
        <v>5.64</v>
      </c>
      <c r="G14" s="156">
        <v>3.9007093906402588</v>
      </c>
      <c r="H14" s="155">
        <v>4.609929084777832</v>
      </c>
      <c r="I14" s="23">
        <v>5.1418442726135254</v>
      </c>
      <c r="J14" s="158">
        <v>41.836055755615234</v>
      </c>
      <c r="K14" s="33">
        <v>9.0757978723404253</v>
      </c>
      <c r="L14" s="33">
        <v>51.1875</v>
      </c>
      <c r="M14" s="58">
        <v>45804</v>
      </c>
      <c r="N14" s="12">
        <v>13</v>
      </c>
      <c r="O14" s="12" t="s">
        <v>467</v>
      </c>
      <c r="P14" s="2">
        <v>67</v>
      </c>
      <c r="Q14" s="2">
        <v>80</v>
      </c>
      <c r="R14" s="2">
        <v>0</v>
      </c>
      <c r="S14" s="84">
        <v>20.81</v>
      </c>
      <c r="T14" s="165">
        <v>3.2196059226989746</v>
      </c>
      <c r="U14" s="156">
        <v>3.8443057537078857</v>
      </c>
      <c r="V14" s="95">
        <v>4.0845746994018555</v>
      </c>
      <c r="W14" s="159">
        <v>62.305633544921875</v>
      </c>
      <c r="X14" s="33">
        <v>8.8929601153291689</v>
      </c>
      <c r="Y14" s="33">
        <v>185.0625</v>
      </c>
      <c r="Z14" s="58">
        <v>45805</v>
      </c>
      <c r="AA14" s="12">
        <v>13</v>
      </c>
      <c r="AB14" s="12" t="s">
        <v>448</v>
      </c>
      <c r="AC14" s="2">
        <v>183</v>
      </c>
      <c r="AD14" s="2">
        <v>218</v>
      </c>
      <c r="AE14" s="2">
        <v>0</v>
      </c>
      <c r="AF14" s="84">
        <v>65.73</v>
      </c>
      <c r="AG14" s="160">
        <v>2.7841167449951172</v>
      </c>
      <c r="AH14" s="154">
        <v>3.3165979385375977</v>
      </c>
      <c r="AI14" s="161">
        <v>3.5448043346405029</v>
      </c>
      <c r="AJ14" s="166">
        <v>64.675849914550781</v>
      </c>
      <c r="AK14" s="33">
        <v>8.6765936406511486</v>
      </c>
      <c r="AL14" s="33">
        <v>570.3125</v>
      </c>
      <c r="AM14" s="58">
        <v>45806</v>
      </c>
    </row>
    <row r="15" spans="1:39" x14ac:dyDescent="0.3">
      <c r="A15" s="12">
        <v>14</v>
      </c>
      <c r="B15" s="12" t="s">
        <v>408</v>
      </c>
      <c r="C15" s="2">
        <v>25</v>
      </c>
      <c r="D15" s="2">
        <v>25</v>
      </c>
      <c r="E15" s="2">
        <v>0</v>
      </c>
      <c r="F15" s="82">
        <v>6.41</v>
      </c>
      <c r="G15" s="156">
        <v>3.9001560211181641</v>
      </c>
      <c r="H15" s="156">
        <v>3.9001560211181641</v>
      </c>
      <c r="I15" s="156">
        <v>3.9001560211181641</v>
      </c>
      <c r="J15" s="158">
        <v>38.245811462402344</v>
      </c>
      <c r="K15" s="33">
        <v>8.5218408736349449</v>
      </c>
      <c r="L15" s="33">
        <v>54.625</v>
      </c>
      <c r="M15" s="58">
        <v>45712</v>
      </c>
      <c r="N15" s="12">
        <v>14</v>
      </c>
      <c r="O15" s="12" t="s">
        <v>415</v>
      </c>
      <c r="P15" s="2">
        <v>61</v>
      </c>
      <c r="Q15" s="2">
        <v>75</v>
      </c>
      <c r="R15" s="2">
        <v>0</v>
      </c>
      <c r="S15" s="171">
        <v>19.22</v>
      </c>
      <c r="T15" s="165">
        <v>3.1737773418426514</v>
      </c>
      <c r="U15" s="156">
        <v>3.9021854400634766</v>
      </c>
      <c r="V15" s="95">
        <v>4.1623311042785645</v>
      </c>
      <c r="W15" s="166">
        <v>64.93280029296875</v>
      </c>
      <c r="X15" s="33">
        <v>9.1571279916753383</v>
      </c>
      <c r="Y15" s="33">
        <v>176</v>
      </c>
      <c r="Z15" s="58">
        <v>45767</v>
      </c>
      <c r="AA15" s="12">
        <v>14</v>
      </c>
      <c r="AB15" s="12" t="s">
        <v>475</v>
      </c>
      <c r="AC15" s="2">
        <v>188</v>
      </c>
      <c r="AD15" s="2">
        <v>230</v>
      </c>
      <c r="AE15" s="2">
        <v>0</v>
      </c>
      <c r="AF15" s="85">
        <v>67.63</v>
      </c>
      <c r="AG15" s="160">
        <v>2.7798316478729248</v>
      </c>
      <c r="AH15" s="154">
        <v>3.40085768699646</v>
      </c>
      <c r="AI15" s="161">
        <v>3.6226527690887451</v>
      </c>
      <c r="AJ15" s="166">
        <v>63.300945281982422</v>
      </c>
      <c r="AK15" s="33">
        <v>8.1472719207452311</v>
      </c>
      <c r="AL15" s="33">
        <v>551</v>
      </c>
      <c r="AM15" s="58">
        <v>45807</v>
      </c>
    </row>
    <row r="16" spans="1:39" x14ac:dyDescent="0.3">
      <c r="A16" s="12">
        <v>15</v>
      </c>
      <c r="B16" s="12" t="s">
        <v>408</v>
      </c>
      <c r="C16" s="2">
        <v>13</v>
      </c>
      <c r="D16" s="2">
        <v>13</v>
      </c>
      <c r="E16" s="2">
        <v>0</v>
      </c>
      <c r="F16" s="79">
        <v>3.34</v>
      </c>
      <c r="G16" s="156">
        <v>3.8922157287597656</v>
      </c>
      <c r="H16" s="156">
        <v>3.8922157287597656</v>
      </c>
      <c r="I16" s="95">
        <v>4.1916170120239258</v>
      </c>
      <c r="J16" s="159">
        <v>60.238880157470703</v>
      </c>
      <c r="K16" s="33">
        <v>10.179640718562874</v>
      </c>
      <c r="L16" s="33">
        <v>34</v>
      </c>
      <c r="M16" s="58">
        <v>45810</v>
      </c>
      <c r="N16" s="12">
        <v>15</v>
      </c>
      <c r="O16" s="12" t="s">
        <v>467</v>
      </c>
      <c r="P16" s="2">
        <v>70</v>
      </c>
      <c r="Q16" s="2">
        <v>87</v>
      </c>
      <c r="R16" s="2">
        <v>0</v>
      </c>
      <c r="S16" s="86">
        <v>22.06</v>
      </c>
      <c r="T16" s="165">
        <v>3.1731641292572021</v>
      </c>
      <c r="U16" s="156">
        <v>3.9437897205352783</v>
      </c>
      <c r="V16" s="95">
        <v>4.1251134872436523</v>
      </c>
      <c r="W16" s="159">
        <v>58.949989318847656</v>
      </c>
      <c r="X16" s="33">
        <v>8.9188576609247505</v>
      </c>
      <c r="Y16" s="33">
        <v>196.75</v>
      </c>
      <c r="Z16" s="58">
        <v>45804</v>
      </c>
      <c r="AA16" s="12">
        <v>15</v>
      </c>
      <c r="AB16" s="12" t="s">
        <v>477</v>
      </c>
      <c r="AC16" s="2">
        <v>192</v>
      </c>
      <c r="AD16" s="2">
        <v>234</v>
      </c>
      <c r="AE16" s="2">
        <v>0</v>
      </c>
      <c r="AF16" s="85">
        <v>69.11</v>
      </c>
      <c r="AG16" s="160">
        <v>2.7781796455383301</v>
      </c>
      <c r="AH16" s="154">
        <v>3.385906457901001</v>
      </c>
      <c r="AI16" s="161">
        <v>3.6174213886260986</v>
      </c>
      <c r="AJ16" s="159">
        <v>62.311897277832031</v>
      </c>
      <c r="AK16" s="33">
        <v>8.4620532484445086</v>
      </c>
      <c r="AL16" s="33">
        <v>584.8125</v>
      </c>
      <c r="AM16" s="58">
        <v>45806</v>
      </c>
    </row>
    <row r="17" spans="1:39" x14ac:dyDescent="0.3">
      <c r="A17" s="12">
        <v>16</v>
      </c>
      <c r="B17" s="12" t="s">
        <v>391</v>
      </c>
      <c r="C17" s="2">
        <v>29</v>
      </c>
      <c r="D17" s="2">
        <v>31</v>
      </c>
      <c r="E17" s="2">
        <v>0</v>
      </c>
      <c r="F17" s="84">
        <v>7.47</v>
      </c>
      <c r="G17" s="156">
        <v>3.8821954727172852</v>
      </c>
      <c r="H17" s="95">
        <v>4.1499333381652832</v>
      </c>
      <c r="I17" s="170">
        <v>4.819277286529541</v>
      </c>
      <c r="J17" s="172">
        <v>34.202316284179688</v>
      </c>
      <c r="K17" s="33">
        <v>8.8520749665327987</v>
      </c>
      <c r="L17" s="33">
        <v>66.125</v>
      </c>
      <c r="M17" s="58">
        <v>45706</v>
      </c>
      <c r="N17" s="12">
        <v>16</v>
      </c>
      <c r="O17" s="12" t="s">
        <v>474</v>
      </c>
      <c r="P17" s="2">
        <v>71</v>
      </c>
      <c r="Q17" s="2">
        <v>81</v>
      </c>
      <c r="R17" s="2">
        <v>0</v>
      </c>
      <c r="S17" s="86">
        <v>22.38</v>
      </c>
      <c r="T17" s="165">
        <v>3.1724755764007568</v>
      </c>
      <c r="U17" s="161">
        <v>3.6193029880523682</v>
      </c>
      <c r="V17" s="156">
        <v>3.8873996734619141</v>
      </c>
      <c r="W17" s="159">
        <v>58.346023559570313</v>
      </c>
      <c r="X17" s="33">
        <v>9.7548033958891871</v>
      </c>
      <c r="Y17" s="33">
        <v>218.3125</v>
      </c>
      <c r="Z17" s="58">
        <v>45804</v>
      </c>
      <c r="AA17" s="12">
        <v>16</v>
      </c>
      <c r="AB17" s="12" t="s">
        <v>478</v>
      </c>
      <c r="AC17" s="2">
        <v>181</v>
      </c>
      <c r="AD17" s="2">
        <v>219</v>
      </c>
      <c r="AE17" s="2">
        <v>0</v>
      </c>
      <c r="AF17" s="84">
        <v>65.5</v>
      </c>
      <c r="AG17" s="160">
        <v>2.7633588314056396</v>
      </c>
      <c r="AH17" s="154">
        <v>3.3435113430023193</v>
      </c>
      <c r="AI17" s="161">
        <v>3.5572519302368164</v>
      </c>
      <c r="AJ17" s="166">
        <v>64.351341247558594</v>
      </c>
      <c r="AK17" s="33">
        <v>8.5858778625954191</v>
      </c>
      <c r="AL17" s="33">
        <v>562.375</v>
      </c>
      <c r="AM17" s="58">
        <v>45808</v>
      </c>
    </row>
    <row r="18" spans="1:39" x14ac:dyDescent="0.3">
      <c r="A18" s="12">
        <v>17</v>
      </c>
      <c r="B18" s="12" t="s">
        <v>400</v>
      </c>
      <c r="C18" s="2">
        <v>28</v>
      </c>
      <c r="D18" s="2">
        <v>31</v>
      </c>
      <c r="E18" s="2">
        <v>0</v>
      </c>
      <c r="F18" s="84">
        <v>7.22</v>
      </c>
      <c r="G18" s="156">
        <v>3.8781163692474365</v>
      </c>
      <c r="H18" s="162">
        <v>4.2936291694641113</v>
      </c>
      <c r="I18" s="162">
        <v>4.4321331977844238</v>
      </c>
      <c r="J18" s="172">
        <v>34.990272521972656</v>
      </c>
      <c r="K18" s="33">
        <v>8.5612880886426588</v>
      </c>
      <c r="L18" s="33">
        <v>61.8125</v>
      </c>
      <c r="M18" s="58">
        <v>45763</v>
      </c>
      <c r="N18" s="12">
        <v>17</v>
      </c>
      <c r="O18" s="12" t="s">
        <v>476</v>
      </c>
      <c r="P18" s="2">
        <v>71</v>
      </c>
      <c r="Q18" s="2">
        <v>87</v>
      </c>
      <c r="R18" s="2">
        <v>0</v>
      </c>
      <c r="S18" s="86">
        <v>22.41</v>
      </c>
      <c r="T18" s="165">
        <v>3.1682283878326416</v>
      </c>
      <c r="U18" s="156">
        <v>3.8821954727172852</v>
      </c>
      <c r="V18" s="95">
        <v>4.1945562362670898</v>
      </c>
      <c r="W18" s="159">
        <v>58.213298797607422</v>
      </c>
      <c r="X18" s="33">
        <v>10.589580544399821</v>
      </c>
      <c r="Y18" s="33">
        <v>237.3125</v>
      </c>
      <c r="Z18" s="58">
        <v>45800</v>
      </c>
      <c r="AA18" s="12">
        <v>17</v>
      </c>
      <c r="AB18" s="12" t="s">
        <v>480</v>
      </c>
      <c r="AC18" s="2">
        <v>204</v>
      </c>
      <c r="AD18" s="2">
        <v>236</v>
      </c>
      <c r="AE18" s="2">
        <v>0</v>
      </c>
      <c r="AF18" s="86">
        <v>74.099999999999994</v>
      </c>
      <c r="AG18" s="160">
        <v>2.7530364990234375</v>
      </c>
      <c r="AH18" s="165">
        <v>3.1848852634429932</v>
      </c>
      <c r="AI18" s="154">
        <v>3.3738193511962891</v>
      </c>
      <c r="AJ18" s="159">
        <v>58.806926727294922</v>
      </c>
      <c r="AK18" s="33">
        <v>8.123313090418355</v>
      </c>
      <c r="AL18" s="33">
        <v>601.9375</v>
      </c>
      <c r="AM18" s="58">
        <v>45792</v>
      </c>
    </row>
    <row r="19" spans="1:39" x14ac:dyDescent="0.3">
      <c r="A19" s="12">
        <v>18</v>
      </c>
      <c r="B19" s="12" t="s">
        <v>397</v>
      </c>
      <c r="C19" s="2">
        <v>24</v>
      </c>
      <c r="D19" s="2">
        <v>24</v>
      </c>
      <c r="E19" s="2">
        <v>0</v>
      </c>
      <c r="F19" s="82">
        <v>6.19</v>
      </c>
      <c r="G19" s="156">
        <v>3.8772213459014893</v>
      </c>
      <c r="H19" s="156">
        <v>3.8772213459014893</v>
      </c>
      <c r="I19" s="95">
        <v>4.2003231048583984</v>
      </c>
      <c r="J19" s="158">
        <v>38.96185302734375</v>
      </c>
      <c r="K19" s="33">
        <v>8.0775444264943452</v>
      </c>
      <c r="L19" s="33">
        <v>50</v>
      </c>
      <c r="M19" s="58">
        <v>45805</v>
      </c>
      <c r="N19" s="12">
        <v>18</v>
      </c>
      <c r="O19" s="12" t="s">
        <v>415</v>
      </c>
      <c r="P19" s="2">
        <v>82</v>
      </c>
      <c r="Q19" s="2">
        <v>95</v>
      </c>
      <c r="R19" s="2">
        <v>0</v>
      </c>
      <c r="S19" s="87">
        <v>25.92</v>
      </c>
      <c r="T19" s="165">
        <v>3.1635801792144775</v>
      </c>
      <c r="U19" s="161">
        <v>3.665123462677002</v>
      </c>
      <c r="V19" s="95">
        <v>4.1666665077209473</v>
      </c>
      <c r="W19" s="157">
        <v>52.498798370361328</v>
      </c>
      <c r="X19" s="33">
        <v>7.9764660493827151</v>
      </c>
      <c r="Y19" s="33">
        <v>206.75</v>
      </c>
      <c r="Z19" s="58">
        <v>45705</v>
      </c>
      <c r="AA19" s="12">
        <v>18</v>
      </c>
      <c r="AB19" s="12" t="s">
        <v>481</v>
      </c>
      <c r="AC19" s="2">
        <v>208</v>
      </c>
      <c r="AD19" s="2">
        <v>227</v>
      </c>
      <c r="AE19" s="2">
        <v>1</v>
      </c>
      <c r="AF19" s="87">
        <v>75.56</v>
      </c>
      <c r="AG19" s="160">
        <v>2.7527792453765869</v>
      </c>
      <c r="AH19" s="165">
        <v>3.0042350292205811</v>
      </c>
      <c r="AI19" s="165">
        <v>3.0836422443389893</v>
      </c>
      <c r="AJ19" s="159">
        <v>58.003780364990234</v>
      </c>
      <c r="AK19" s="33">
        <v>7.2334899417681306</v>
      </c>
      <c r="AL19" s="33">
        <v>546.5625</v>
      </c>
      <c r="AM19" s="58">
        <v>45727</v>
      </c>
    </row>
    <row r="20" spans="1:39" x14ac:dyDescent="0.3">
      <c r="A20" s="12">
        <v>19</v>
      </c>
      <c r="B20" s="12" t="s">
        <v>408</v>
      </c>
      <c r="C20" s="2">
        <v>18</v>
      </c>
      <c r="D20" s="2">
        <v>18</v>
      </c>
      <c r="E20" s="2">
        <v>0</v>
      </c>
      <c r="F20" s="15">
        <v>4.68</v>
      </c>
      <c r="G20" s="156">
        <v>3.8461539745330811</v>
      </c>
      <c r="H20" s="156">
        <v>3.8461539745330811</v>
      </c>
      <c r="I20" s="95">
        <v>4.0598292350769043</v>
      </c>
      <c r="J20" s="158">
        <v>47.00640869140625</v>
      </c>
      <c r="K20" s="33">
        <v>8.1463675213675213</v>
      </c>
      <c r="L20" s="33">
        <v>38.125</v>
      </c>
      <c r="M20" s="58">
        <v>45805</v>
      </c>
      <c r="N20" s="12">
        <v>19</v>
      </c>
      <c r="O20" s="12" t="s">
        <v>479</v>
      </c>
      <c r="P20" s="2">
        <v>81</v>
      </c>
      <c r="Q20" s="2">
        <v>92</v>
      </c>
      <c r="R20" s="2">
        <v>0</v>
      </c>
      <c r="S20" s="87">
        <v>25.61</v>
      </c>
      <c r="T20" s="165">
        <v>3.1628270149230957</v>
      </c>
      <c r="U20" s="161">
        <v>3.5923466682434082</v>
      </c>
      <c r="V20" s="156">
        <v>3.8656773567199707</v>
      </c>
      <c r="W20" s="157">
        <v>52.930225372314453</v>
      </c>
      <c r="X20" s="33">
        <v>9.2737212026552136</v>
      </c>
      <c r="Y20" s="33">
        <v>237.5</v>
      </c>
      <c r="Z20" s="58">
        <v>45793</v>
      </c>
      <c r="AA20" s="12">
        <v>19</v>
      </c>
      <c r="AB20" s="12" t="s">
        <v>484</v>
      </c>
      <c r="AC20" s="2">
        <v>177</v>
      </c>
      <c r="AD20" s="2">
        <v>211</v>
      </c>
      <c r="AE20" s="2">
        <v>0</v>
      </c>
      <c r="AF20" s="171">
        <v>64.41</v>
      </c>
      <c r="AG20" s="164">
        <v>2.7480204105377197</v>
      </c>
      <c r="AH20" s="154">
        <v>3.2758886814117432</v>
      </c>
      <c r="AI20" s="154">
        <v>3.4621951580047607</v>
      </c>
      <c r="AJ20" s="166">
        <v>64.750312805175781</v>
      </c>
      <c r="AK20" s="33">
        <v>8.3750582207731732</v>
      </c>
      <c r="AL20" s="33">
        <v>539.4375</v>
      </c>
      <c r="AM20" s="58">
        <v>45783</v>
      </c>
    </row>
    <row r="21" spans="1:39" x14ac:dyDescent="0.3">
      <c r="A21" s="12">
        <v>20</v>
      </c>
      <c r="B21" s="12" t="s">
        <v>397</v>
      </c>
      <c r="C21" s="2">
        <v>28</v>
      </c>
      <c r="D21" s="2">
        <v>28</v>
      </c>
      <c r="E21" s="2">
        <v>0</v>
      </c>
      <c r="F21" s="84">
        <v>7.36</v>
      </c>
      <c r="G21" s="156">
        <v>3.8043477535247803</v>
      </c>
      <c r="H21" s="156">
        <v>3.8043477535247803</v>
      </c>
      <c r="I21" s="95">
        <v>4.2119565010070801</v>
      </c>
      <c r="J21" s="172">
        <v>33.866336822509766</v>
      </c>
      <c r="K21" s="33">
        <v>7.3963994565217392</v>
      </c>
      <c r="L21" s="33">
        <v>54.4375</v>
      </c>
      <c r="M21" s="58">
        <v>45706</v>
      </c>
      <c r="N21" s="12">
        <v>20</v>
      </c>
      <c r="O21" s="12" t="s">
        <v>434</v>
      </c>
      <c r="P21" s="2">
        <v>69</v>
      </c>
      <c r="Q21" s="2">
        <v>85</v>
      </c>
      <c r="R21" s="2">
        <v>0</v>
      </c>
      <c r="S21" s="85">
        <v>21.82</v>
      </c>
      <c r="T21" s="165">
        <v>3.1622364521026611</v>
      </c>
      <c r="U21" s="156">
        <v>3.8955087661743164</v>
      </c>
      <c r="V21" s="95">
        <v>4.1704859733581543</v>
      </c>
      <c r="W21" s="159">
        <v>59.19854736328125</v>
      </c>
      <c r="X21" s="33">
        <v>9.489573785517873</v>
      </c>
      <c r="Y21" s="33">
        <v>207.0625</v>
      </c>
      <c r="Z21" s="58">
        <v>45767</v>
      </c>
      <c r="AA21" s="12">
        <v>20</v>
      </c>
      <c r="AB21" s="12" t="s">
        <v>485</v>
      </c>
      <c r="AC21" s="2">
        <v>217</v>
      </c>
      <c r="AD21" s="2">
        <v>254</v>
      </c>
      <c r="AE21" s="2">
        <v>0</v>
      </c>
      <c r="AF21" s="87">
        <v>79.02</v>
      </c>
      <c r="AG21" s="164">
        <v>2.7461402416229248</v>
      </c>
      <c r="AH21" s="165">
        <v>3.2143762111663818</v>
      </c>
      <c r="AI21" s="154">
        <v>3.442166805267334</v>
      </c>
      <c r="AJ21" s="157">
        <v>56.078460693359375</v>
      </c>
      <c r="AK21" s="33">
        <v>8.2898316881802074</v>
      </c>
      <c r="AL21" s="33">
        <v>655.0625</v>
      </c>
      <c r="AM21" s="58">
        <v>45808</v>
      </c>
    </row>
    <row r="22" spans="1:39" x14ac:dyDescent="0.3">
      <c r="A22" s="12">
        <v>21</v>
      </c>
      <c r="B22" s="12" t="s">
        <v>391</v>
      </c>
      <c r="C22" s="2">
        <v>31</v>
      </c>
      <c r="D22" s="2">
        <v>35</v>
      </c>
      <c r="E22" s="2">
        <v>0</v>
      </c>
      <c r="F22" s="86">
        <v>8.15</v>
      </c>
      <c r="G22" s="156">
        <v>3.8036811351776123</v>
      </c>
      <c r="H22" s="162">
        <v>4.2944788932800293</v>
      </c>
      <c r="I22" s="155">
        <v>4.6625766754150391</v>
      </c>
      <c r="J22" s="172">
        <v>31.527992248535156</v>
      </c>
      <c r="K22" s="33">
        <v>8.918711656441717</v>
      </c>
      <c r="L22" s="33">
        <v>72.6875</v>
      </c>
      <c r="M22" s="58">
        <v>45761</v>
      </c>
      <c r="N22" s="12">
        <v>21</v>
      </c>
      <c r="O22" s="12" t="s">
        <v>483</v>
      </c>
      <c r="P22" s="2">
        <v>77</v>
      </c>
      <c r="Q22" s="2">
        <v>86</v>
      </c>
      <c r="R22" s="2">
        <v>0</v>
      </c>
      <c r="S22" s="87">
        <v>24.36</v>
      </c>
      <c r="T22" s="165">
        <v>3.1609194278717041</v>
      </c>
      <c r="U22" s="161">
        <v>3.5303776264190674</v>
      </c>
      <c r="V22" s="161">
        <v>3.7356321811676025</v>
      </c>
      <c r="W22" s="157">
        <v>54.784076690673828</v>
      </c>
      <c r="X22" s="33">
        <v>7.8509852216748772</v>
      </c>
      <c r="Y22" s="33">
        <v>191.25</v>
      </c>
      <c r="Z22" s="58">
        <v>45762</v>
      </c>
      <c r="AA22" s="12">
        <v>21</v>
      </c>
      <c r="AB22" s="12" t="s">
        <v>455</v>
      </c>
      <c r="AC22" s="2">
        <v>172</v>
      </c>
      <c r="AD22" s="2">
        <v>208</v>
      </c>
      <c r="AE22" s="2">
        <v>0</v>
      </c>
      <c r="AF22" s="171">
        <v>63.04</v>
      </c>
      <c r="AG22" s="164">
        <v>2.728426456451416</v>
      </c>
      <c r="AH22" s="154">
        <v>3.299492359161377</v>
      </c>
      <c r="AI22" s="154">
        <v>3.4898476600646973</v>
      </c>
      <c r="AJ22" s="166">
        <v>65.263465881347656</v>
      </c>
      <c r="AK22" s="33">
        <v>8.4549492385786795</v>
      </c>
      <c r="AL22" s="33">
        <v>533</v>
      </c>
      <c r="AM22" s="58">
        <v>45805</v>
      </c>
    </row>
    <row r="23" spans="1:39" x14ac:dyDescent="0.3">
      <c r="A23" s="12">
        <v>22</v>
      </c>
      <c r="B23" s="12" t="s">
        <v>482</v>
      </c>
      <c r="C23" s="2">
        <v>33</v>
      </c>
      <c r="D23" s="2">
        <v>41</v>
      </c>
      <c r="E23" s="2">
        <v>0</v>
      </c>
      <c r="F23" s="86">
        <v>8.73</v>
      </c>
      <c r="G23" s="156">
        <v>3.7800688743591309</v>
      </c>
      <c r="H23" s="155">
        <v>4.6964492797851563</v>
      </c>
      <c r="I23" s="170">
        <v>4.925544261932373</v>
      </c>
      <c r="J23" s="172">
        <v>29.86016845703125</v>
      </c>
      <c r="K23" s="33">
        <v>9.0492554410080182</v>
      </c>
      <c r="L23" s="33">
        <v>79</v>
      </c>
      <c r="M23" s="58">
        <v>45763</v>
      </c>
      <c r="N23" s="12">
        <v>22</v>
      </c>
      <c r="O23" s="12" t="s">
        <v>454</v>
      </c>
      <c r="P23" s="2">
        <v>88</v>
      </c>
      <c r="Q23" s="2">
        <v>104</v>
      </c>
      <c r="R23" s="2">
        <v>0</v>
      </c>
      <c r="S23" s="88">
        <v>27.89</v>
      </c>
      <c r="T23" s="165">
        <v>3.1552529335021973</v>
      </c>
      <c r="U23" s="161">
        <v>3.7289352416992188</v>
      </c>
      <c r="V23" s="156">
        <v>3.9082109928131104</v>
      </c>
      <c r="W23" s="158">
        <v>49.743370056152344</v>
      </c>
      <c r="X23" s="33">
        <v>9.3402653280745778</v>
      </c>
      <c r="Y23" s="33">
        <v>260.5</v>
      </c>
      <c r="Z23" s="58">
        <v>45801</v>
      </c>
      <c r="AA23" s="12">
        <v>22</v>
      </c>
      <c r="AB23" s="12" t="s">
        <v>480</v>
      </c>
      <c r="AC23" s="2">
        <v>205</v>
      </c>
      <c r="AD23" s="2">
        <v>243</v>
      </c>
      <c r="AE23" s="2">
        <v>0</v>
      </c>
      <c r="AF23" s="87">
        <v>75.17</v>
      </c>
      <c r="AG23" s="164">
        <v>2.7271518707275391</v>
      </c>
      <c r="AH23" s="165">
        <v>3.2326726913452148</v>
      </c>
      <c r="AI23" s="154">
        <v>3.4056141376495361</v>
      </c>
      <c r="AJ23" s="159">
        <v>57.672317504882813</v>
      </c>
      <c r="AK23" s="33">
        <v>7.8829652787016098</v>
      </c>
      <c r="AL23" s="33">
        <v>592.5625</v>
      </c>
      <c r="AM23" s="58">
        <v>45769</v>
      </c>
    </row>
    <row r="24" spans="1:39" x14ac:dyDescent="0.3">
      <c r="A24" s="12">
        <v>23</v>
      </c>
      <c r="B24" s="12" t="s">
        <v>400</v>
      </c>
      <c r="C24" s="2">
        <v>15</v>
      </c>
      <c r="D24" s="2">
        <v>18</v>
      </c>
      <c r="E24" s="2">
        <v>0</v>
      </c>
      <c r="F24" s="14">
        <v>3.98</v>
      </c>
      <c r="G24" s="156">
        <v>3.7688441276550293</v>
      </c>
      <c r="H24" s="155">
        <v>4.5226130485534668</v>
      </c>
      <c r="I24" s="23">
        <v>5.0251255035400391</v>
      </c>
      <c r="J24" s="157">
        <v>51.593208312988281</v>
      </c>
      <c r="K24" s="33">
        <v>7.6476130653266328</v>
      </c>
      <c r="L24" s="33">
        <v>30.4375</v>
      </c>
      <c r="M24" s="58">
        <v>45762</v>
      </c>
      <c r="N24" s="12">
        <v>23</v>
      </c>
      <c r="O24" s="12" t="s">
        <v>406</v>
      </c>
      <c r="P24" s="2">
        <v>69</v>
      </c>
      <c r="Q24" s="2">
        <v>80</v>
      </c>
      <c r="R24" s="2">
        <v>0</v>
      </c>
      <c r="S24" s="85">
        <v>21.97</v>
      </c>
      <c r="T24" s="165">
        <v>3.1406464576721191</v>
      </c>
      <c r="U24" s="161">
        <v>3.641329288482666</v>
      </c>
      <c r="V24" s="156">
        <v>3.9144289493560791</v>
      </c>
      <c r="W24" s="159">
        <v>58.513092041015625</v>
      </c>
      <c r="X24" s="33">
        <v>9.5414201183431953</v>
      </c>
      <c r="Y24" s="33">
        <v>209.625</v>
      </c>
      <c r="Z24" s="58">
        <v>45800</v>
      </c>
      <c r="AA24" s="12">
        <v>23</v>
      </c>
      <c r="AB24" s="12" t="s">
        <v>486</v>
      </c>
      <c r="AC24" s="2">
        <v>197</v>
      </c>
      <c r="AD24" s="2">
        <v>236</v>
      </c>
      <c r="AE24" s="2">
        <v>0</v>
      </c>
      <c r="AF24" s="86">
        <v>72.5</v>
      </c>
      <c r="AG24" s="164">
        <v>2.7172412872314453</v>
      </c>
      <c r="AH24" s="154">
        <v>3.2551724910736084</v>
      </c>
      <c r="AI24" s="154">
        <v>3.4068965911865234</v>
      </c>
      <c r="AJ24" s="159">
        <v>58.936027526855469</v>
      </c>
      <c r="AK24" s="33">
        <v>7.9586206896551728</v>
      </c>
      <c r="AL24" s="33">
        <v>577</v>
      </c>
      <c r="AM24" s="58">
        <v>45765</v>
      </c>
    </row>
    <row r="25" spans="1:39" x14ac:dyDescent="0.3">
      <c r="A25" s="12">
        <v>24</v>
      </c>
      <c r="B25" s="12" t="s">
        <v>391</v>
      </c>
      <c r="C25" s="2">
        <v>20</v>
      </c>
      <c r="D25" s="2">
        <v>21</v>
      </c>
      <c r="E25" s="2">
        <v>0</v>
      </c>
      <c r="F25" s="81">
        <v>5.31</v>
      </c>
      <c r="G25" s="156">
        <v>3.7664783000946045</v>
      </c>
      <c r="H25" s="156">
        <v>3.9548022747039795</v>
      </c>
      <c r="I25" s="162">
        <v>4.3314499855041504</v>
      </c>
      <c r="J25" s="158">
        <v>42.137794494628906</v>
      </c>
      <c r="K25" s="33">
        <v>9.7104519774011315</v>
      </c>
      <c r="L25" s="33">
        <v>51.5625</v>
      </c>
      <c r="M25" s="58">
        <v>45763</v>
      </c>
      <c r="N25" s="12">
        <v>24</v>
      </c>
      <c r="O25" s="12" t="s">
        <v>434</v>
      </c>
      <c r="P25" s="2">
        <v>82</v>
      </c>
      <c r="Q25" s="2">
        <v>100</v>
      </c>
      <c r="R25" s="2">
        <v>0</v>
      </c>
      <c r="S25" s="88">
        <v>26.13</v>
      </c>
      <c r="T25" s="165">
        <v>3.138155460357666</v>
      </c>
      <c r="U25" s="156">
        <v>3.8270189762115479</v>
      </c>
      <c r="V25" s="95">
        <v>4.0566401481628418</v>
      </c>
      <c r="W25" s="157">
        <v>51.783557891845703</v>
      </c>
      <c r="X25" s="33">
        <v>8.3237657864523538</v>
      </c>
      <c r="Y25" s="33">
        <v>217.5</v>
      </c>
      <c r="Z25" s="58">
        <v>45764</v>
      </c>
      <c r="AA25" s="12">
        <v>24</v>
      </c>
      <c r="AB25" s="12" t="s">
        <v>487</v>
      </c>
      <c r="AC25" s="2">
        <v>206</v>
      </c>
      <c r="AD25" s="2">
        <v>232</v>
      </c>
      <c r="AE25" s="2">
        <v>0</v>
      </c>
      <c r="AF25" s="87">
        <v>75.819999999999993</v>
      </c>
      <c r="AG25" s="164">
        <v>2.716961145401001</v>
      </c>
      <c r="AH25" s="165">
        <v>3.0598785877227783</v>
      </c>
      <c r="AI25" s="165">
        <v>3.231337308883667</v>
      </c>
      <c r="AJ25" s="159">
        <v>57.111564636230469</v>
      </c>
      <c r="AK25" s="33">
        <v>8.2555724083355315</v>
      </c>
      <c r="AL25" s="33">
        <v>625.9375</v>
      </c>
      <c r="AM25" s="58">
        <v>45755</v>
      </c>
    </row>
    <row r="26" spans="1:39" x14ac:dyDescent="0.3">
      <c r="A26" s="12">
        <v>25</v>
      </c>
      <c r="B26" s="12" t="s">
        <v>397</v>
      </c>
      <c r="C26" s="2">
        <v>14</v>
      </c>
      <c r="D26" s="2">
        <v>14</v>
      </c>
      <c r="E26" s="2">
        <v>0</v>
      </c>
      <c r="F26" s="14">
        <v>3.73</v>
      </c>
      <c r="G26" s="156">
        <v>3.7533512115478516</v>
      </c>
      <c r="H26" s="156">
        <v>3.7533512115478516</v>
      </c>
      <c r="I26" s="162">
        <v>4.2895441055297852</v>
      </c>
      <c r="J26" s="157">
        <v>53.768203735351563</v>
      </c>
      <c r="K26" s="33">
        <v>7.1548257372654156</v>
      </c>
      <c r="L26" s="33">
        <v>26.6875</v>
      </c>
      <c r="M26" s="58">
        <v>45717</v>
      </c>
      <c r="N26" s="12">
        <v>25</v>
      </c>
      <c r="O26" s="12" t="s">
        <v>415</v>
      </c>
      <c r="P26" s="2">
        <v>56</v>
      </c>
      <c r="Q26" s="2">
        <v>64</v>
      </c>
      <c r="R26" s="2">
        <v>0</v>
      </c>
      <c r="S26" s="16">
        <v>17.850000000000001</v>
      </c>
      <c r="T26" s="165">
        <v>3.1372549533843994</v>
      </c>
      <c r="U26" s="161">
        <v>3.5854341983795166</v>
      </c>
      <c r="V26" s="156">
        <v>3.8655462265014648</v>
      </c>
      <c r="W26" s="166">
        <v>67.595535278320313</v>
      </c>
      <c r="X26" s="33">
        <v>9.0616246498599438</v>
      </c>
      <c r="Y26" s="33">
        <v>161.75</v>
      </c>
      <c r="Z26" s="58">
        <v>45809</v>
      </c>
      <c r="AA26" s="12">
        <v>25</v>
      </c>
      <c r="AB26" s="12" t="s">
        <v>468</v>
      </c>
      <c r="AC26" s="2">
        <v>183</v>
      </c>
      <c r="AD26" s="2">
        <v>213</v>
      </c>
      <c r="AE26" s="2">
        <v>0</v>
      </c>
      <c r="AF26" s="84">
        <v>67.430000000000007</v>
      </c>
      <c r="AG26" s="164">
        <v>2.7139256000518799</v>
      </c>
      <c r="AH26" s="165">
        <v>3.1588313579559326</v>
      </c>
      <c r="AI26" s="154">
        <v>3.3516237735748291</v>
      </c>
      <c r="AJ26" s="159">
        <v>61.928417205810547</v>
      </c>
      <c r="AK26" s="33">
        <v>8.8286000296603877</v>
      </c>
      <c r="AL26" s="33">
        <v>595.3125</v>
      </c>
      <c r="AM26" s="58">
        <v>45809</v>
      </c>
    </row>
    <row r="27" spans="1:39" x14ac:dyDescent="0.3">
      <c r="A27" s="12">
        <v>26</v>
      </c>
      <c r="B27" s="12" t="s">
        <v>433</v>
      </c>
      <c r="C27" s="2">
        <v>28</v>
      </c>
      <c r="D27" s="2">
        <v>30</v>
      </c>
      <c r="E27" s="2">
        <v>0</v>
      </c>
      <c r="F27" s="84">
        <v>7.47</v>
      </c>
      <c r="G27" s="161">
        <v>3.7483267784118652</v>
      </c>
      <c r="H27" s="95">
        <v>4.0160641670227051</v>
      </c>
      <c r="I27" s="162">
        <v>4.2838020324707031</v>
      </c>
      <c r="J27" s="172">
        <v>33.022922515869141</v>
      </c>
      <c r="K27" s="33">
        <v>7.4464524765729587</v>
      </c>
      <c r="L27" s="33">
        <v>55.625</v>
      </c>
      <c r="M27" s="58">
        <v>45761</v>
      </c>
      <c r="N27" s="12">
        <v>26</v>
      </c>
      <c r="O27" s="12" t="s">
        <v>415</v>
      </c>
      <c r="P27" s="2">
        <v>65</v>
      </c>
      <c r="Q27" s="2">
        <v>80</v>
      </c>
      <c r="R27" s="2">
        <v>0</v>
      </c>
      <c r="S27" s="84">
        <v>20.74</v>
      </c>
      <c r="T27" s="165">
        <v>3.1340405941009521</v>
      </c>
      <c r="U27" s="156">
        <v>3.8572807312011719</v>
      </c>
      <c r="V27" s="95">
        <v>4.1947927474975586</v>
      </c>
      <c r="W27" s="159">
        <v>60.792991638183594</v>
      </c>
      <c r="X27" s="33">
        <v>8.793394406943106</v>
      </c>
      <c r="Y27" s="33">
        <v>182.375</v>
      </c>
      <c r="Z27" s="58">
        <v>45763</v>
      </c>
      <c r="AA27" s="12">
        <v>26</v>
      </c>
      <c r="AB27" s="12" t="s">
        <v>489</v>
      </c>
      <c r="AC27" s="2">
        <v>193</v>
      </c>
      <c r="AD27" s="2">
        <v>229</v>
      </c>
      <c r="AE27" s="2">
        <v>0</v>
      </c>
      <c r="AF27" s="86">
        <v>71.28</v>
      </c>
      <c r="AG27" s="164">
        <v>2.7076318264007568</v>
      </c>
      <c r="AH27" s="165">
        <v>3.2126824855804443</v>
      </c>
      <c r="AI27" s="154">
        <v>3.395061731338501</v>
      </c>
      <c r="AJ27" s="159">
        <v>59.429420471191406</v>
      </c>
      <c r="AK27" s="33">
        <v>8.0562570145903472</v>
      </c>
      <c r="AL27" s="33">
        <v>574.25</v>
      </c>
      <c r="AM27" s="58">
        <v>45797</v>
      </c>
    </row>
    <row r="28" spans="1:39" x14ac:dyDescent="0.3">
      <c r="A28" s="12">
        <v>27</v>
      </c>
      <c r="B28" s="12" t="s">
        <v>433</v>
      </c>
      <c r="C28" s="2">
        <v>25</v>
      </c>
      <c r="D28" s="2">
        <v>27</v>
      </c>
      <c r="E28" s="2">
        <v>0</v>
      </c>
      <c r="F28" s="171">
        <v>6.68</v>
      </c>
      <c r="G28" s="161">
        <v>3.7425150871276855</v>
      </c>
      <c r="H28" s="95">
        <v>4.0419163703918457</v>
      </c>
      <c r="I28" s="155">
        <v>4.6407184600830078</v>
      </c>
      <c r="J28" s="172">
        <v>35.655170440673828</v>
      </c>
      <c r="K28" s="33">
        <v>7.6721556886227544</v>
      </c>
      <c r="L28" s="33">
        <v>51.25</v>
      </c>
      <c r="M28" s="58">
        <v>45763</v>
      </c>
      <c r="N28" s="12">
        <v>27</v>
      </c>
      <c r="O28" s="12" t="s">
        <v>488</v>
      </c>
      <c r="P28" s="2">
        <v>101</v>
      </c>
      <c r="Q28" s="2">
        <v>124</v>
      </c>
      <c r="R28" s="2">
        <v>0</v>
      </c>
      <c r="S28" s="84">
        <v>32.409999999999997</v>
      </c>
      <c r="T28" s="165">
        <v>3.1163220405578613</v>
      </c>
      <c r="U28" s="156">
        <v>3.8259797096252441</v>
      </c>
      <c r="V28" s="95">
        <v>4.134526252746582</v>
      </c>
      <c r="W28" s="158">
        <v>44.226444244384766</v>
      </c>
      <c r="X28" s="33">
        <v>8.2112002468373966</v>
      </c>
      <c r="Y28" s="33">
        <v>266.125</v>
      </c>
      <c r="Z28" s="58">
        <v>45761</v>
      </c>
      <c r="AA28" s="12">
        <v>27</v>
      </c>
      <c r="AB28" s="12" t="s">
        <v>490</v>
      </c>
      <c r="AC28" s="2">
        <v>208</v>
      </c>
      <c r="AD28" s="2">
        <v>237</v>
      </c>
      <c r="AE28" s="2">
        <v>0</v>
      </c>
      <c r="AF28" s="87">
        <v>76.849999999999994</v>
      </c>
      <c r="AG28" s="164">
        <v>2.7065713405609131</v>
      </c>
      <c r="AH28" s="165">
        <v>3.0839297771453857</v>
      </c>
      <c r="AI28" s="154">
        <v>3.3311645984649658</v>
      </c>
      <c r="AJ28" s="159">
        <v>56.358318328857422</v>
      </c>
      <c r="AK28" s="33">
        <v>7.1250813272608982</v>
      </c>
      <c r="AL28" s="33">
        <v>547.5625</v>
      </c>
      <c r="AM28" s="58">
        <v>45771</v>
      </c>
    </row>
    <row r="29" spans="1:39" x14ac:dyDescent="0.3">
      <c r="A29" s="12">
        <v>28</v>
      </c>
      <c r="B29" s="12" t="s">
        <v>408</v>
      </c>
      <c r="C29" s="2">
        <v>22</v>
      </c>
      <c r="D29" s="2">
        <v>22</v>
      </c>
      <c r="E29" s="2">
        <v>0</v>
      </c>
      <c r="F29" s="16">
        <v>5.9</v>
      </c>
      <c r="G29" s="161">
        <v>3.7288134098052979</v>
      </c>
      <c r="H29" s="161">
        <v>3.7288134098052979</v>
      </c>
      <c r="I29" s="162">
        <v>4.4067797660827637</v>
      </c>
      <c r="J29" s="158">
        <v>38.750450134277344</v>
      </c>
      <c r="K29" s="33">
        <v>6.6419491525423728</v>
      </c>
      <c r="L29" s="33">
        <v>39.1875</v>
      </c>
      <c r="M29" s="58">
        <v>45712</v>
      </c>
      <c r="N29" s="12">
        <v>28</v>
      </c>
      <c r="O29" s="12" t="s">
        <v>466</v>
      </c>
      <c r="P29" s="2">
        <v>84</v>
      </c>
      <c r="Q29" s="2">
        <v>101</v>
      </c>
      <c r="R29" s="2">
        <v>0</v>
      </c>
      <c r="S29" s="88">
        <v>26.96</v>
      </c>
      <c r="T29" s="165">
        <v>3.1157271862030029</v>
      </c>
      <c r="U29" s="161">
        <v>3.746290922164917</v>
      </c>
      <c r="V29" s="95">
        <v>4.0059347152709961</v>
      </c>
      <c r="W29" s="157">
        <v>50.30029296875</v>
      </c>
      <c r="X29" s="33">
        <v>8.5682492581602379</v>
      </c>
      <c r="Y29" s="33">
        <v>231</v>
      </c>
      <c r="Z29" s="58">
        <v>45804</v>
      </c>
      <c r="AA29" s="12">
        <v>28</v>
      </c>
      <c r="AB29" s="12" t="s">
        <v>393</v>
      </c>
      <c r="AC29" s="2">
        <v>148</v>
      </c>
      <c r="AD29" s="2">
        <v>177</v>
      </c>
      <c r="AE29" s="2">
        <v>0</v>
      </c>
      <c r="AF29" s="15">
        <v>54.74</v>
      </c>
      <c r="AG29" s="164">
        <v>2.7036900520324707</v>
      </c>
      <c r="AH29" s="165">
        <v>3.2334671020507813</v>
      </c>
      <c r="AI29" s="154">
        <v>3.4709534645080566</v>
      </c>
      <c r="AJ29" s="163">
        <v>71.389244079589844</v>
      </c>
      <c r="AK29" s="33">
        <v>8.444464742418706</v>
      </c>
      <c r="AL29" s="33">
        <v>462.25</v>
      </c>
      <c r="AM29" s="58">
        <v>45801</v>
      </c>
    </row>
    <row r="30" spans="1:39" x14ac:dyDescent="0.3">
      <c r="A30" s="12">
        <v>29</v>
      </c>
      <c r="B30" s="12" t="s">
        <v>433</v>
      </c>
      <c r="C30" s="2">
        <v>25</v>
      </c>
      <c r="D30" s="2">
        <v>26</v>
      </c>
      <c r="E30" s="2">
        <v>0</v>
      </c>
      <c r="F30" s="171">
        <v>6.71</v>
      </c>
      <c r="G30" s="161">
        <v>3.7257823944091797</v>
      </c>
      <c r="H30" s="156">
        <v>3.8748137950897217</v>
      </c>
      <c r="I30" s="95">
        <v>4.1728763580322266</v>
      </c>
      <c r="J30" s="172">
        <v>35.384593963623047</v>
      </c>
      <c r="K30" s="33">
        <v>6.4549180327868854</v>
      </c>
      <c r="L30" s="33">
        <v>43.3125</v>
      </c>
      <c r="M30" s="58">
        <v>45717</v>
      </c>
      <c r="N30" s="12">
        <v>29</v>
      </c>
      <c r="O30" s="12" t="s">
        <v>491</v>
      </c>
      <c r="P30" s="2">
        <v>65</v>
      </c>
      <c r="Q30" s="2">
        <v>78</v>
      </c>
      <c r="R30" s="2">
        <v>0</v>
      </c>
      <c r="S30" s="84">
        <v>20.88</v>
      </c>
      <c r="T30" s="165">
        <v>3.1130268573760986</v>
      </c>
      <c r="U30" s="161">
        <v>3.7356324195861816</v>
      </c>
      <c r="V30" s="95">
        <v>4.0708813667297363</v>
      </c>
      <c r="W30" s="159">
        <v>60.101673126220703</v>
      </c>
      <c r="X30" s="33">
        <v>9.5007183908045985</v>
      </c>
      <c r="Y30" s="33">
        <v>198.375</v>
      </c>
      <c r="Z30" s="58">
        <v>45800</v>
      </c>
      <c r="AA30" s="12">
        <v>29</v>
      </c>
      <c r="AB30" s="12" t="s">
        <v>492</v>
      </c>
      <c r="AC30" s="2">
        <v>177</v>
      </c>
      <c r="AD30" s="2">
        <v>212</v>
      </c>
      <c r="AE30" s="2">
        <v>0</v>
      </c>
      <c r="AF30" s="84">
        <v>65.569999999999993</v>
      </c>
      <c r="AG30" s="164">
        <v>2.6994051933288574</v>
      </c>
      <c r="AH30" s="165">
        <v>3.2331860065460205</v>
      </c>
      <c r="AI30" s="154">
        <v>3.3399419784545898</v>
      </c>
      <c r="AJ30" s="166">
        <v>62.815052032470703</v>
      </c>
      <c r="AK30" s="33">
        <v>8.7702074119261866</v>
      </c>
      <c r="AL30" s="33">
        <v>575.0625</v>
      </c>
      <c r="AM30" s="58">
        <v>45767</v>
      </c>
    </row>
    <row r="31" spans="1:39" x14ac:dyDescent="0.3">
      <c r="A31" s="12">
        <v>30</v>
      </c>
      <c r="B31" s="12" t="s">
        <v>405</v>
      </c>
      <c r="C31" s="2">
        <v>17</v>
      </c>
      <c r="D31" s="2">
        <v>17</v>
      </c>
      <c r="E31" s="2">
        <v>0</v>
      </c>
      <c r="F31" s="15">
        <v>4.58</v>
      </c>
      <c r="G31" s="161">
        <v>3.7117905616760254</v>
      </c>
      <c r="H31" s="161">
        <v>3.7117905616760254</v>
      </c>
      <c r="I31" s="156">
        <v>3.9301309585571289</v>
      </c>
      <c r="J31" s="158">
        <v>46.055355072021484</v>
      </c>
      <c r="K31" s="33">
        <v>9.6479257641921397</v>
      </c>
      <c r="L31" s="33">
        <v>44.1875</v>
      </c>
      <c r="M31" s="58">
        <v>45810</v>
      </c>
      <c r="N31" s="12">
        <v>30</v>
      </c>
      <c r="O31" s="12" t="s">
        <v>476</v>
      </c>
      <c r="P31" s="2">
        <v>83</v>
      </c>
      <c r="Q31" s="2">
        <v>100</v>
      </c>
      <c r="R31" s="2">
        <v>0</v>
      </c>
      <c r="S31" s="88">
        <v>26.71</v>
      </c>
      <c r="T31" s="165">
        <v>3.1074504852294922</v>
      </c>
      <c r="U31" s="161">
        <v>3.7439162731170654</v>
      </c>
      <c r="V31" s="156">
        <v>3.9311120510101318</v>
      </c>
      <c r="W31" s="157">
        <v>50.494899749755859</v>
      </c>
      <c r="X31" s="33">
        <v>8.3676525645825528</v>
      </c>
      <c r="Y31" s="33">
        <v>223.5</v>
      </c>
      <c r="Z31" s="58">
        <v>45801</v>
      </c>
      <c r="AA31" s="12">
        <v>30</v>
      </c>
      <c r="AB31" s="12" t="s">
        <v>485</v>
      </c>
      <c r="AC31" s="2">
        <v>207</v>
      </c>
      <c r="AD31" s="2">
        <v>241</v>
      </c>
      <c r="AE31" s="2">
        <v>0</v>
      </c>
      <c r="AF31" s="87">
        <v>76.7</v>
      </c>
      <c r="AG31" s="164">
        <v>2.698826789855957</v>
      </c>
      <c r="AH31" s="165">
        <v>3.1421122550964355</v>
      </c>
      <c r="AI31" s="154">
        <v>3.3116037845611572</v>
      </c>
      <c r="AJ31" s="159">
        <v>56.273963928222656</v>
      </c>
      <c r="AK31" s="33">
        <v>8.8991199478487619</v>
      </c>
      <c r="AL31" s="33">
        <v>682.5625</v>
      </c>
      <c r="AM31" s="58">
        <v>45810</v>
      </c>
    </row>
    <row r="32" spans="1:39" x14ac:dyDescent="0.3">
      <c r="A32" s="12">
        <v>31</v>
      </c>
      <c r="B32" s="12" t="s">
        <v>391</v>
      </c>
      <c r="C32" s="2">
        <v>17</v>
      </c>
      <c r="D32" s="2">
        <v>20</v>
      </c>
      <c r="E32" s="2">
        <v>0</v>
      </c>
      <c r="F32" s="15">
        <v>4.58</v>
      </c>
      <c r="G32" s="161">
        <v>3.7117905616760254</v>
      </c>
      <c r="H32" s="162">
        <v>4.3668122291564941</v>
      </c>
      <c r="I32" s="155">
        <v>4.5851531028747559</v>
      </c>
      <c r="J32" s="158">
        <v>46.055355072021484</v>
      </c>
      <c r="K32" s="33">
        <v>8.4879912663755466</v>
      </c>
      <c r="L32" s="33">
        <v>38.875</v>
      </c>
      <c r="M32" s="58">
        <v>45756</v>
      </c>
      <c r="N32" s="12">
        <v>31</v>
      </c>
      <c r="O32" s="12" t="s">
        <v>466</v>
      </c>
      <c r="P32" s="2">
        <v>85</v>
      </c>
      <c r="Q32" s="2">
        <v>99</v>
      </c>
      <c r="R32" s="2">
        <v>0</v>
      </c>
      <c r="S32" s="88">
        <v>27.36</v>
      </c>
      <c r="T32" s="165">
        <v>3.1067249774932861</v>
      </c>
      <c r="U32" s="161">
        <v>3.6184210777282715</v>
      </c>
      <c r="V32" s="95">
        <v>4.0935673713684082</v>
      </c>
      <c r="W32" s="158">
        <v>49.640548706054688</v>
      </c>
      <c r="X32" s="33">
        <v>8.2533808479532169</v>
      </c>
      <c r="Y32" s="33">
        <v>225.8125</v>
      </c>
      <c r="Z32" s="58">
        <v>45810</v>
      </c>
      <c r="AA32" s="12">
        <v>31</v>
      </c>
      <c r="AB32" s="12" t="s">
        <v>494</v>
      </c>
      <c r="AC32" s="2">
        <v>196</v>
      </c>
      <c r="AD32" s="2">
        <v>223</v>
      </c>
      <c r="AE32" s="2">
        <v>0</v>
      </c>
      <c r="AF32" s="86">
        <v>72.64</v>
      </c>
      <c r="AG32" s="164">
        <v>2.6982378959655762</v>
      </c>
      <c r="AH32" s="165">
        <v>3.0699338912963867</v>
      </c>
      <c r="AI32" s="165">
        <v>3.2351322174072266</v>
      </c>
      <c r="AJ32" s="159">
        <v>58.444873809814453</v>
      </c>
      <c r="AK32" s="33">
        <v>7.2411894273127757</v>
      </c>
      <c r="AL32" s="33">
        <v>526</v>
      </c>
      <c r="AM32" s="58">
        <v>45750</v>
      </c>
    </row>
    <row r="33" spans="1:39" x14ac:dyDescent="0.3">
      <c r="A33" s="12">
        <v>32</v>
      </c>
      <c r="B33" s="12" t="s">
        <v>397</v>
      </c>
      <c r="C33" s="2">
        <v>17</v>
      </c>
      <c r="D33" s="2">
        <v>17</v>
      </c>
      <c r="E33" s="2">
        <v>0</v>
      </c>
      <c r="F33" s="15">
        <v>4.58</v>
      </c>
      <c r="G33" s="161">
        <v>3.7117905616760254</v>
      </c>
      <c r="H33" s="161">
        <v>3.7117905616760254</v>
      </c>
      <c r="I33" s="95">
        <v>4.1484718322753906</v>
      </c>
      <c r="J33" s="158">
        <v>46.055355072021484</v>
      </c>
      <c r="K33" s="33">
        <v>8.1604803493449776</v>
      </c>
      <c r="L33" s="33">
        <v>37.375</v>
      </c>
      <c r="M33" s="58">
        <v>45720</v>
      </c>
      <c r="N33" s="12">
        <v>32</v>
      </c>
      <c r="O33" s="12" t="s">
        <v>423</v>
      </c>
      <c r="P33" s="2">
        <v>77</v>
      </c>
      <c r="Q33" s="2">
        <v>85</v>
      </c>
      <c r="R33" s="2">
        <v>0</v>
      </c>
      <c r="S33" s="87">
        <v>24.86</v>
      </c>
      <c r="T33" s="165">
        <v>3.0973451137542725</v>
      </c>
      <c r="U33" s="154">
        <v>3.419147253036499</v>
      </c>
      <c r="V33" s="161">
        <v>3.7409491539001465</v>
      </c>
      <c r="W33" s="157">
        <v>52.924137115478516</v>
      </c>
      <c r="X33" s="33">
        <v>9.2241552695092519</v>
      </c>
      <c r="Y33" s="33">
        <v>229.3125</v>
      </c>
      <c r="Z33" s="58">
        <v>45764</v>
      </c>
      <c r="AA33" s="12">
        <v>32</v>
      </c>
      <c r="AB33" s="12" t="s">
        <v>465</v>
      </c>
      <c r="AC33" s="2">
        <v>200</v>
      </c>
      <c r="AD33" s="2">
        <v>230</v>
      </c>
      <c r="AE33" s="2">
        <v>0</v>
      </c>
      <c r="AF33" s="86">
        <v>74.2</v>
      </c>
      <c r="AG33" s="164">
        <v>2.6954178810119629</v>
      </c>
      <c r="AH33" s="165">
        <v>3.0997304916381836</v>
      </c>
      <c r="AI33" s="154">
        <v>3.301887035369873</v>
      </c>
      <c r="AJ33" s="159">
        <v>57.521820068359375</v>
      </c>
      <c r="AK33" s="33">
        <v>8.0727762803234491</v>
      </c>
      <c r="AL33" s="33">
        <v>599</v>
      </c>
      <c r="AM33" s="58">
        <v>45760</v>
      </c>
    </row>
    <row r="34" spans="1:39" x14ac:dyDescent="0.3">
      <c r="A34" s="12">
        <v>33</v>
      </c>
      <c r="B34" s="12" t="s">
        <v>405</v>
      </c>
      <c r="C34" s="2">
        <v>15</v>
      </c>
      <c r="D34" s="2">
        <v>14</v>
      </c>
      <c r="E34" s="2">
        <v>1</v>
      </c>
      <c r="F34" s="80">
        <v>4.05</v>
      </c>
      <c r="G34" s="161">
        <v>3.7037036418914795</v>
      </c>
      <c r="H34" s="154">
        <v>3.4567899703979492</v>
      </c>
      <c r="I34" s="156">
        <v>3.9506170749664307</v>
      </c>
      <c r="J34" s="157">
        <v>50.086441040039063</v>
      </c>
      <c r="K34" s="33">
        <v>9.5833333333333339</v>
      </c>
      <c r="L34" s="33">
        <v>38.8125</v>
      </c>
      <c r="M34" s="58">
        <v>45810</v>
      </c>
      <c r="N34" s="12">
        <v>33</v>
      </c>
      <c r="O34" s="12" t="s">
        <v>495</v>
      </c>
      <c r="P34" s="2">
        <v>94</v>
      </c>
      <c r="Q34" s="2">
        <v>114</v>
      </c>
      <c r="R34" s="2">
        <v>0</v>
      </c>
      <c r="S34" s="88">
        <v>30.44</v>
      </c>
      <c r="T34" s="165">
        <v>3.0880420207977295</v>
      </c>
      <c r="U34" s="161">
        <v>3.7450721263885498</v>
      </c>
      <c r="V34" s="95">
        <v>4.2049932479858398</v>
      </c>
      <c r="W34" s="158">
        <v>45.791721343994141</v>
      </c>
      <c r="X34" s="33">
        <v>7.5455814717476999</v>
      </c>
      <c r="Y34" s="33">
        <v>229.6875</v>
      </c>
      <c r="Z34" s="58">
        <v>45763</v>
      </c>
      <c r="AA34" s="12">
        <v>33</v>
      </c>
      <c r="AB34" s="12" t="s">
        <v>465</v>
      </c>
      <c r="AC34" s="2">
        <v>198</v>
      </c>
      <c r="AD34" s="2">
        <v>229</v>
      </c>
      <c r="AE34" s="2">
        <v>0</v>
      </c>
      <c r="AF34" s="86">
        <v>73.47</v>
      </c>
      <c r="AG34" s="164">
        <v>2.6949775218963623</v>
      </c>
      <c r="AH34" s="165">
        <v>3.1169183254241943</v>
      </c>
      <c r="AI34" s="154">
        <v>3.2666394710540771</v>
      </c>
      <c r="AJ34" s="159">
        <v>57.911838531494141</v>
      </c>
      <c r="AK34" s="33">
        <v>8.4558323125085071</v>
      </c>
      <c r="AL34" s="33">
        <v>621.25</v>
      </c>
      <c r="AM34" s="58">
        <v>45791</v>
      </c>
    </row>
    <row r="35" spans="1:39" x14ac:dyDescent="0.3">
      <c r="A35" s="12">
        <v>34</v>
      </c>
      <c r="B35" s="12" t="s">
        <v>493</v>
      </c>
      <c r="C35" s="2">
        <v>23</v>
      </c>
      <c r="D35" s="2">
        <v>31</v>
      </c>
      <c r="E35" s="2">
        <v>0</v>
      </c>
      <c r="F35" s="12">
        <v>6.21</v>
      </c>
      <c r="G35" s="3">
        <v>3.7037036418914795</v>
      </c>
      <c r="H35" s="3">
        <v>4.9919486045837402</v>
      </c>
      <c r="I35" s="3">
        <v>5.3140096664428711</v>
      </c>
      <c r="J35" s="33">
        <v>37.134246826171875</v>
      </c>
      <c r="K35" s="33">
        <v>9.6618357487922708</v>
      </c>
      <c r="L35" s="33">
        <v>60</v>
      </c>
      <c r="M35" s="58">
        <v>45808</v>
      </c>
      <c r="N35" s="12">
        <v>34</v>
      </c>
      <c r="O35" s="12" t="s">
        <v>409</v>
      </c>
      <c r="P35" s="2">
        <v>53</v>
      </c>
      <c r="Q35" s="2">
        <v>57</v>
      </c>
      <c r="R35" s="2">
        <v>0</v>
      </c>
      <c r="S35" s="12">
        <v>17.190000000000001</v>
      </c>
      <c r="T35" s="3">
        <v>3.0831878185272217</v>
      </c>
      <c r="U35" s="3">
        <v>3.3158812522888184</v>
      </c>
      <c r="V35" s="3">
        <v>3.548574686050415</v>
      </c>
      <c r="W35" s="33">
        <v>68.205894470214844</v>
      </c>
      <c r="X35" s="33">
        <v>9.4095404304828385</v>
      </c>
      <c r="Y35" s="33">
        <v>161.75</v>
      </c>
      <c r="Z35" s="58">
        <v>45805</v>
      </c>
      <c r="AA35" s="12">
        <v>34</v>
      </c>
      <c r="AB35" s="12" t="s">
        <v>435</v>
      </c>
      <c r="AC35" s="2">
        <v>166</v>
      </c>
      <c r="AD35" s="2">
        <v>200</v>
      </c>
      <c r="AE35" s="2">
        <v>0</v>
      </c>
      <c r="AF35" s="12">
        <v>61.71</v>
      </c>
      <c r="AG35" s="3">
        <v>2.6900017261505127</v>
      </c>
      <c r="AH35" s="3">
        <v>3.2409658432006836</v>
      </c>
      <c r="AI35" s="3">
        <v>3.4192190170288086</v>
      </c>
      <c r="AJ35" s="33">
        <v>65.311988830566406</v>
      </c>
      <c r="AK35" s="33">
        <v>9.0017825311942961</v>
      </c>
      <c r="AL35" s="33">
        <v>555.5</v>
      </c>
      <c r="AM35" s="58">
        <v>45809</v>
      </c>
    </row>
    <row r="36" spans="1:39" x14ac:dyDescent="0.3">
      <c r="A36" s="12">
        <v>35</v>
      </c>
      <c r="B36" s="12" t="s">
        <v>400</v>
      </c>
      <c r="C36" s="2">
        <v>26</v>
      </c>
      <c r="D36" s="2">
        <v>30</v>
      </c>
      <c r="E36" s="2">
        <v>0</v>
      </c>
      <c r="F36" s="12">
        <v>7.02</v>
      </c>
      <c r="G36" s="3">
        <v>3.7037036418914795</v>
      </c>
      <c r="H36" s="3">
        <v>4.2735042572021484</v>
      </c>
      <c r="I36" s="3">
        <v>4.5584044456481934</v>
      </c>
      <c r="J36" s="33">
        <v>34.080249786376953</v>
      </c>
      <c r="K36" s="33">
        <v>9.0366809116809126</v>
      </c>
      <c r="L36" s="33">
        <v>63.4375</v>
      </c>
      <c r="M36" s="58">
        <v>45716</v>
      </c>
      <c r="N36" s="12">
        <v>35</v>
      </c>
      <c r="O36" s="12" t="s">
        <v>403</v>
      </c>
      <c r="P36" s="2">
        <v>68</v>
      </c>
      <c r="Q36" s="2">
        <v>83</v>
      </c>
      <c r="R36" s="2">
        <v>0</v>
      </c>
      <c r="S36" s="12">
        <v>22.07</v>
      </c>
      <c r="T36" s="3">
        <v>3.0811057090759277</v>
      </c>
      <c r="U36" s="3">
        <v>3.7607612609863281</v>
      </c>
      <c r="V36" s="3">
        <v>3.9873130321502686</v>
      </c>
      <c r="W36" s="33">
        <v>57.221595764160156</v>
      </c>
      <c r="X36" s="33">
        <v>9.1442002718622568</v>
      </c>
      <c r="Y36" s="33">
        <v>201.8125</v>
      </c>
      <c r="Z36" s="58">
        <v>45804</v>
      </c>
      <c r="AA36" s="12">
        <v>35</v>
      </c>
      <c r="AB36" s="12" t="s">
        <v>469</v>
      </c>
      <c r="AC36" s="2">
        <v>184</v>
      </c>
      <c r="AD36" s="2">
        <v>223</v>
      </c>
      <c r="AE36" s="2">
        <v>0</v>
      </c>
      <c r="AF36" s="12">
        <v>68.42</v>
      </c>
      <c r="AG36" s="3">
        <v>2.6892721652984619</v>
      </c>
      <c r="AH36" s="3">
        <v>3.2592809200286865</v>
      </c>
      <c r="AI36" s="3">
        <v>3.4931306838989258</v>
      </c>
      <c r="AJ36" s="33">
        <v>60.742950439453125</v>
      </c>
      <c r="AK36" s="33">
        <v>7.8604574685764392</v>
      </c>
      <c r="AL36" s="33">
        <v>537.8125</v>
      </c>
      <c r="AM36" s="58">
        <v>45775</v>
      </c>
    </row>
    <row r="37" spans="1:39" x14ac:dyDescent="0.3">
      <c r="A37" s="12">
        <v>36</v>
      </c>
      <c r="B37" s="12" t="s">
        <v>408</v>
      </c>
      <c r="C37" s="2">
        <v>31</v>
      </c>
      <c r="D37" s="2">
        <v>31</v>
      </c>
      <c r="E37" s="2">
        <v>0</v>
      </c>
      <c r="F37" s="12">
        <v>8.4</v>
      </c>
      <c r="G37" s="3">
        <v>3.6904764175415039</v>
      </c>
      <c r="H37" s="3">
        <v>3.6904764175415039</v>
      </c>
      <c r="I37" s="3">
        <v>3.9285717010498047</v>
      </c>
      <c r="J37" s="33">
        <v>29.949491500854492</v>
      </c>
      <c r="K37" s="33">
        <v>9.2410714285714288</v>
      </c>
      <c r="L37" s="33">
        <v>77.625</v>
      </c>
      <c r="M37" s="58">
        <v>45716</v>
      </c>
      <c r="N37" s="12">
        <v>36</v>
      </c>
      <c r="O37" s="12" t="s">
        <v>479</v>
      </c>
      <c r="P37" s="2">
        <v>82</v>
      </c>
      <c r="Q37" s="2">
        <v>94</v>
      </c>
      <c r="R37" s="2">
        <v>0</v>
      </c>
      <c r="S37" s="12">
        <v>26.68</v>
      </c>
      <c r="T37" s="3">
        <v>3.0734632015228271</v>
      </c>
      <c r="U37" s="3">
        <v>3.5232384204864502</v>
      </c>
      <c r="V37" s="3">
        <v>3.7481257915496826</v>
      </c>
      <c r="W37" s="33">
        <v>49.981922149658203</v>
      </c>
      <c r="X37" s="33">
        <v>7.8171851574212896</v>
      </c>
      <c r="Y37" s="33">
        <v>208.5625</v>
      </c>
      <c r="Z37" s="58">
        <v>45716</v>
      </c>
      <c r="AA37" s="12">
        <v>36</v>
      </c>
      <c r="AB37" s="12" t="s">
        <v>441</v>
      </c>
      <c r="AC37" s="2">
        <v>202</v>
      </c>
      <c r="AD37" s="2">
        <v>243</v>
      </c>
      <c r="AE37" s="2">
        <v>0</v>
      </c>
      <c r="AF37" s="12">
        <v>75.180000000000007</v>
      </c>
      <c r="AG37" s="3">
        <v>2.686884880065918</v>
      </c>
      <c r="AH37" s="3">
        <v>3.2322425842285156</v>
      </c>
      <c r="AI37" s="3">
        <v>3.5248737335205078</v>
      </c>
      <c r="AJ37" s="33">
        <v>56.815479278564453</v>
      </c>
      <c r="AK37" s="33">
        <v>7.1935687682894383</v>
      </c>
      <c r="AL37" s="33">
        <v>540.8125</v>
      </c>
      <c r="AM37" s="58">
        <v>45763</v>
      </c>
    </row>
    <row r="39" spans="1:39" x14ac:dyDescent="0.3">
      <c r="A39" s="12">
        <v>1</v>
      </c>
      <c r="B39" s="12" t="s">
        <v>408</v>
      </c>
      <c r="C39" s="2">
        <v>27</v>
      </c>
      <c r="D39" s="2">
        <v>27</v>
      </c>
      <c r="E39" s="2">
        <v>0</v>
      </c>
      <c r="F39" s="12">
        <v>5.78</v>
      </c>
      <c r="G39" s="3">
        <v>4.6712799072265625</v>
      </c>
      <c r="H39" s="3">
        <v>4.6712799072265625</v>
      </c>
      <c r="I39" s="3">
        <v>5.017301082611084</v>
      </c>
      <c r="J39" s="33">
        <v>49.248035430908203</v>
      </c>
      <c r="K39" s="33">
        <v>9.9913494809688572</v>
      </c>
      <c r="L39" s="33">
        <v>57.75</v>
      </c>
      <c r="M39" s="58">
        <v>45763</v>
      </c>
      <c r="N39" s="12">
        <v>1</v>
      </c>
      <c r="O39" s="12" t="s">
        <v>459</v>
      </c>
      <c r="P39" s="2">
        <v>100</v>
      </c>
      <c r="Q39" s="2">
        <v>111</v>
      </c>
      <c r="R39" s="2">
        <v>0</v>
      </c>
      <c r="S39" s="12">
        <v>27.72</v>
      </c>
      <c r="T39" s="3">
        <v>3.6075036525726318</v>
      </c>
      <c r="U39" s="3">
        <v>4.0043292045593262</v>
      </c>
      <c r="V39" s="3">
        <v>4.2568545341491699</v>
      </c>
      <c r="W39" s="33">
        <v>57.117153167724609</v>
      </c>
      <c r="X39" s="33">
        <v>9.2284451659451658</v>
      </c>
      <c r="Y39" s="33">
        <v>255.8125</v>
      </c>
      <c r="Z39" s="58">
        <v>45793</v>
      </c>
      <c r="AA39" s="12">
        <v>1</v>
      </c>
      <c r="AB39" s="12" t="s">
        <v>460</v>
      </c>
      <c r="AC39" s="2">
        <v>199</v>
      </c>
      <c r="AD39" s="2">
        <v>219</v>
      </c>
      <c r="AE39" s="2">
        <v>0</v>
      </c>
      <c r="AF39" s="12">
        <v>66.760000000000005</v>
      </c>
      <c r="AG39" s="3">
        <v>2.9808268547058105</v>
      </c>
      <c r="AH39" s="3">
        <v>3.2804074287414551</v>
      </c>
      <c r="AI39" s="3">
        <v>3.4451766014099121</v>
      </c>
      <c r="AJ39" s="33">
        <v>68.495895385742188</v>
      </c>
      <c r="AK39" s="33">
        <v>8.9995880766926302</v>
      </c>
      <c r="AL39" s="33">
        <v>600.8125</v>
      </c>
      <c r="AM39" s="58">
        <v>45779</v>
      </c>
    </row>
    <row r="40" spans="1:39" x14ac:dyDescent="0.3">
      <c r="A40" s="12">
        <v>2</v>
      </c>
      <c r="B40" s="12" t="s">
        <v>397</v>
      </c>
      <c r="C40" s="2">
        <v>20</v>
      </c>
      <c r="D40" s="2">
        <v>20</v>
      </c>
      <c r="E40" s="2">
        <v>0</v>
      </c>
      <c r="F40" s="12">
        <v>4.8099999999999996</v>
      </c>
      <c r="G40" s="3">
        <v>4.1580042839050293</v>
      </c>
      <c r="H40" s="3">
        <v>4.1580042839050293</v>
      </c>
      <c r="I40" s="3">
        <v>4.5738048553466797</v>
      </c>
      <c r="J40" s="33">
        <v>49.852375030517578</v>
      </c>
      <c r="K40" s="33">
        <v>8.2250519750519757</v>
      </c>
      <c r="L40" s="33">
        <v>39.5625</v>
      </c>
      <c r="M40" s="58">
        <v>45762</v>
      </c>
      <c r="N40" s="12">
        <v>2</v>
      </c>
      <c r="O40" s="12" t="s">
        <v>461</v>
      </c>
      <c r="P40" s="2">
        <v>80</v>
      </c>
      <c r="Q40" s="2">
        <v>93</v>
      </c>
      <c r="R40" s="2">
        <v>0</v>
      </c>
      <c r="S40" s="12">
        <v>23.28</v>
      </c>
      <c r="T40" s="3">
        <v>3.4364259243011475</v>
      </c>
      <c r="U40" s="3">
        <v>3.9948451519012451</v>
      </c>
      <c r="V40" s="3">
        <v>4.2096219062805176</v>
      </c>
      <c r="W40" s="33">
        <v>61.480010986328125</v>
      </c>
      <c r="X40" s="33">
        <v>9.715957903780069</v>
      </c>
      <c r="Y40" s="33">
        <v>226.1875</v>
      </c>
      <c r="Z40" s="58">
        <v>45810</v>
      </c>
      <c r="AA40" s="12">
        <v>2</v>
      </c>
      <c r="AB40" s="12" t="s">
        <v>462</v>
      </c>
      <c r="AC40" s="2">
        <v>233</v>
      </c>
      <c r="AD40" s="2">
        <v>272</v>
      </c>
      <c r="AE40" s="2">
        <v>0</v>
      </c>
      <c r="AF40" s="12">
        <v>79.45</v>
      </c>
      <c r="AG40" s="3">
        <v>2.9326622486114502</v>
      </c>
      <c r="AH40" s="3">
        <v>3.423537015914917</v>
      </c>
      <c r="AI40" s="3">
        <v>3.5745754241943359</v>
      </c>
      <c r="AJ40" s="33">
        <v>59.660320281982422</v>
      </c>
      <c r="AK40" s="33">
        <v>8.3480176211453738</v>
      </c>
      <c r="AL40" s="33">
        <v>663.25</v>
      </c>
      <c r="AM40" s="58">
        <v>45779</v>
      </c>
    </row>
    <row r="41" spans="1:39" x14ac:dyDescent="0.3">
      <c r="A41" s="12">
        <v>3</v>
      </c>
      <c r="B41" s="12" t="s">
        <v>463</v>
      </c>
      <c r="C41" s="2">
        <v>24</v>
      </c>
      <c r="D41" s="2">
        <v>27</v>
      </c>
      <c r="E41" s="2">
        <v>0</v>
      </c>
      <c r="F41" s="12">
        <v>5.91</v>
      </c>
      <c r="G41" s="3">
        <v>4.0609140396118164</v>
      </c>
      <c r="H41" s="3">
        <v>4.5685281753540039</v>
      </c>
      <c r="I41" s="3">
        <v>5.0761423110961914</v>
      </c>
      <c r="J41" s="33">
        <v>42.151695251464844</v>
      </c>
      <c r="K41" s="33">
        <v>8.7563451776649739</v>
      </c>
      <c r="L41" s="33">
        <v>51.75</v>
      </c>
      <c r="M41" s="58">
        <v>45793</v>
      </c>
      <c r="N41" s="12">
        <v>3</v>
      </c>
      <c r="O41" s="12" t="s">
        <v>461</v>
      </c>
      <c r="P41" s="2">
        <v>99</v>
      </c>
      <c r="Q41" s="2">
        <v>113</v>
      </c>
      <c r="R41" s="2">
        <v>0</v>
      </c>
      <c r="S41" s="12">
        <v>29.36</v>
      </c>
      <c r="T41" s="3">
        <v>3.3719346523284912</v>
      </c>
      <c r="U41" s="3">
        <v>3.848773717880249</v>
      </c>
      <c r="V41" s="3">
        <v>4.087193489074707</v>
      </c>
      <c r="W41" s="33">
        <v>51.281993865966797</v>
      </c>
      <c r="X41" s="33">
        <v>8.2999829700272478</v>
      </c>
      <c r="Y41" s="33">
        <v>243.6875</v>
      </c>
      <c r="Z41" s="58">
        <v>45763</v>
      </c>
      <c r="AA41" s="12">
        <v>3</v>
      </c>
      <c r="AB41" s="12" t="s">
        <v>465</v>
      </c>
      <c r="AC41" s="2">
        <v>196</v>
      </c>
      <c r="AD41" s="2">
        <v>229</v>
      </c>
      <c r="AE41" s="2">
        <v>0</v>
      </c>
      <c r="AF41" s="12">
        <v>67</v>
      </c>
      <c r="AG41" s="3">
        <v>2.9253730773925781</v>
      </c>
      <c r="AH41" s="3">
        <v>3.4179103374481201</v>
      </c>
      <c r="AI41" s="3">
        <v>3.5373134613037109</v>
      </c>
      <c r="AJ41" s="33">
        <v>67.052993774414063</v>
      </c>
      <c r="AK41" s="33">
        <v>9.2434701492537314</v>
      </c>
      <c r="AL41" s="33">
        <v>619.3125</v>
      </c>
      <c r="AM41" s="58">
        <v>45782</v>
      </c>
    </row>
    <row r="42" spans="1:39" x14ac:dyDescent="0.3">
      <c r="A42" s="12">
        <v>4</v>
      </c>
      <c r="B42" s="12" t="s">
        <v>433</v>
      </c>
      <c r="C42" s="2">
        <v>19</v>
      </c>
      <c r="D42" s="2">
        <v>22</v>
      </c>
      <c r="E42" s="2">
        <v>0</v>
      </c>
      <c r="F42" s="12">
        <v>4.68</v>
      </c>
      <c r="G42" s="3">
        <v>4.0598292350769043</v>
      </c>
      <c r="H42" s="3">
        <v>4.7008547782897949</v>
      </c>
      <c r="I42" s="3">
        <v>4.9145302772521973</v>
      </c>
      <c r="J42" s="33">
        <v>49.617877960205078</v>
      </c>
      <c r="K42" s="33">
        <v>7.6388888888888893</v>
      </c>
      <c r="L42" s="33">
        <v>35.75</v>
      </c>
      <c r="M42" s="58">
        <v>45765</v>
      </c>
      <c r="N42" s="12">
        <v>4</v>
      </c>
      <c r="O42" s="12" t="s">
        <v>464</v>
      </c>
      <c r="P42" s="2">
        <v>88</v>
      </c>
      <c r="Q42" s="2">
        <v>98</v>
      </c>
      <c r="R42" s="2">
        <v>0</v>
      </c>
      <c r="S42" s="12">
        <v>26.13</v>
      </c>
      <c r="T42" s="3">
        <v>3.36777663230896</v>
      </c>
      <c r="U42" s="3">
        <v>3.7504785060882568</v>
      </c>
      <c r="V42" s="3">
        <v>4.0183696746826172</v>
      </c>
      <c r="W42" s="33">
        <v>55.572601318359375</v>
      </c>
      <c r="X42" s="33">
        <v>7.7497129735935708</v>
      </c>
      <c r="Y42" s="33">
        <v>202.5</v>
      </c>
      <c r="Z42" s="58">
        <v>45777</v>
      </c>
      <c r="AA42" s="12">
        <v>4</v>
      </c>
      <c r="AB42" s="12" t="s">
        <v>410</v>
      </c>
      <c r="AC42" s="2">
        <v>171</v>
      </c>
      <c r="AD42" s="2">
        <v>193</v>
      </c>
      <c r="AE42" s="2">
        <v>0</v>
      </c>
      <c r="AF42" s="12">
        <v>59.24</v>
      </c>
      <c r="AG42" s="3">
        <v>2.8865630626678467</v>
      </c>
      <c r="AH42" s="3">
        <v>3.2579338550567627</v>
      </c>
      <c r="AI42" s="3">
        <v>3.4098579883575439</v>
      </c>
      <c r="AJ42" s="33">
        <v>72.117347717285156</v>
      </c>
      <c r="AK42" s="33">
        <v>8.2904287643484125</v>
      </c>
      <c r="AL42" s="33">
        <v>491.125</v>
      </c>
      <c r="AM42" s="58">
        <v>45801</v>
      </c>
    </row>
    <row r="43" spans="1:39" x14ac:dyDescent="0.3">
      <c r="A43" s="12">
        <v>5</v>
      </c>
      <c r="B43" s="12" t="s">
        <v>408</v>
      </c>
      <c r="C43" s="2">
        <v>24</v>
      </c>
      <c r="D43" s="2">
        <v>24</v>
      </c>
      <c r="E43" s="2">
        <v>0</v>
      </c>
      <c r="F43" s="12">
        <v>5.93</v>
      </c>
      <c r="G43" s="3">
        <v>4.047217845916748</v>
      </c>
      <c r="H43" s="3">
        <v>4.047217845916748</v>
      </c>
      <c r="I43" s="3">
        <v>4.2158517837524414</v>
      </c>
      <c r="J43" s="33">
        <v>41.910301208496094</v>
      </c>
      <c r="K43" s="33">
        <v>8.0733558178752105</v>
      </c>
      <c r="L43" s="33">
        <v>47.875</v>
      </c>
      <c r="M43" s="58">
        <v>45766</v>
      </c>
      <c r="N43" s="12">
        <v>5</v>
      </c>
      <c r="O43" s="12" t="s">
        <v>466</v>
      </c>
      <c r="P43" s="2">
        <v>93</v>
      </c>
      <c r="Q43" s="2">
        <v>110</v>
      </c>
      <c r="R43" s="2">
        <v>0</v>
      </c>
      <c r="S43" s="12">
        <v>27.82</v>
      </c>
      <c r="T43" s="3">
        <v>3.342918872833252</v>
      </c>
      <c r="U43" s="3">
        <v>3.9539899826049805</v>
      </c>
      <c r="V43" s="3">
        <v>4.2056074142456055</v>
      </c>
      <c r="W43" s="33">
        <v>52.794765472412109</v>
      </c>
      <c r="X43" s="33">
        <v>7.928199137311287</v>
      </c>
      <c r="Y43" s="33">
        <v>220.5625</v>
      </c>
      <c r="Z43" s="58">
        <v>45780</v>
      </c>
      <c r="AA43" s="12">
        <v>5</v>
      </c>
      <c r="AB43" s="12" t="s">
        <v>439</v>
      </c>
      <c r="AC43" s="2">
        <v>178</v>
      </c>
      <c r="AD43" s="2">
        <v>209</v>
      </c>
      <c r="AE43" s="2">
        <v>0</v>
      </c>
      <c r="AF43" s="12">
        <v>62.07</v>
      </c>
      <c r="AG43" s="3">
        <v>2.8677299022674561</v>
      </c>
      <c r="AH43" s="3">
        <v>3.3671660423278809</v>
      </c>
      <c r="AI43" s="3">
        <v>3.5766069889068604</v>
      </c>
      <c r="AJ43" s="33">
        <v>69.344223022460938</v>
      </c>
      <c r="AK43" s="33">
        <v>8.7189866280006445</v>
      </c>
      <c r="AL43" s="33">
        <v>541.1875</v>
      </c>
      <c r="AM43" s="58">
        <v>45779</v>
      </c>
    </row>
    <row r="44" spans="1:39" x14ac:dyDescent="0.3">
      <c r="A44" s="12">
        <v>6</v>
      </c>
      <c r="B44" s="12" t="s">
        <v>408</v>
      </c>
      <c r="C44" s="2">
        <v>25</v>
      </c>
      <c r="D44" s="2">
        <v>25</v>
      </c>
      <c r="E44" s="2">
        <v>0</v>
      </c>
      <c r="F44" s="12">
        <v>6.18</v>
      </c>
      <c r="G44" s="3">
        <v>4.0453076362609863</v>
      </c>
      <c r="H44" s="3">
        <v>4.0453076362609863</v>
      </c>
      <c r="I44" s="3">
        <v>4.2071199417114258</v>
      </c>
      <c r="J44" s="33">
        <v>40.696975708007813</v>
      </c>
      <c r="K44" s="33">
        <v>7.0287216828478964</v>
      </c>
      <c r="L44" s="33">
        <v>43.4375</v>
      </c>
      <c r="M44" s="58">
        <v>45763</v>
      </c>
      <c r="N44" s="12">
        <v>6</v>
      </c>
      <c r="O44" s="12" t="s">
        <v>406</v>
      </c>
      <c r="P44" s="2">
        <v>72</v>
      </c>
      <c r="Q44" s="2">
        <v>86</v>
      </c>
      <c r="R44" s="2">
        <v>0</v>
      </c>
      <c r="S44" s="12">
        <v>21.66</v>
      </c>
      <c r="T44" s="3">
        <v>3.3240997791290283</v>
      </c>
      <c r="U44" s="3">
        <v>3.9704525470733643</v>
      </c>
      <c r="V44" s="3">
        <v>4.2474608421325684</v>
      </c>
      <c r="W44" s="33">
        <v>62.550117492675781</v>
      </c>
      <c r="X44" s="33">
        <v>7.9062788550323173</v>
      </c>
      <c r="Y44" s="33">
        <v>171.25</v>
      </c>
      <c r="Z44" s="58">
        <v>45716</v>
      </c>
      <c r="AA44" s="12">
        <v>6</v>
      </c>
      <c r="AB44" s="12" t="s">
        <v>468</v>
      </c>
      <c r="AC44" s="2">
        <v>196</v>
      </c>
      <c r="AD44" s="2">
        <v>229</v>
      </c>
      <c r="AE44" s="2">
        <v>0</v>
      </c>
      <c r="AF44" s="12">
        <v>68.77</v>
      </c>
      <c r="AG44" s="3">
        <v>2.8500800132751465</v>
      </c>
      <c r="AH44" s="3">
        <v>3.3299405574798584</v>
      </c>
      <c r="AI44" s="3">
        <v>3.5189764499664307</v>
      </c>
      <c r="AJ44" s="33">
        <v>64.145622253417969</v>
      </c>
      <c r="AK44" s="33">
        <v>7.7322960593281955</v>
      </c>
      <c r="AL44" s="33">
        <v>531.75</v>
      </c>
      <c r="AM44" s="58">
        <v>45768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99"/>
  </sheetPr>
  <dimension ref="A1:AM44"/>
  <sheetViews>
    <sheetView topLeftCell="C1" workbookViewId="0">
      <pane ySplit="1" topLeftCell="A23" activePane="bottomLeft" state="frozen"/>
      <selection pane="bottomLeft" activeCell="AJ19" sqref="AJ19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0" width="4.69140625" style="33" bestFit="1" customWidth="1"/>
    <col min="11" max="11" width="5.61328125" style="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7" width="3.843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3" width="4.69140625" style="33" bestFit="1" customWidth="1"/>
    <col min="24" max="24" width="5.61328125" style="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5.61328125" style="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95" t="s">
        <v>155</v>
      </c>
      <c r="L1" s="100" t="s">
        <v>75</v>
      </c>
      <c r="M1" s="96" t="s">
        <v>146</v>
      </c>
      <c r="N1" s="14" t="str">
        <f>A1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95" t="s">
        <v>155</v>
      </c>
      <c r="Y1" s="100" t="s">
        <v>75</v>
      </c>
      <c r="Z1" s="96" t="s">
        <v>146</v>
      </c>
      <c r="AA1" s="14" t="str">
        <f>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95" t="s">
        <v>155</v>
      </c>
      <c r="AL1" s="100" t="s">
        <v>75</v>
      </c>
      <c r="AM1" s="96" t="s">
        <v>146</v>
      </c>
    </row>
    <row r="2" spans="1:39" x14ac:dyDescent="0.3">
      <c r="A2" s="12">
        <v>1</v>
      </c>
      <c r="B2" s="12" t="s">
        <v>397</v>
      </c>
      <c r="C2" s="2">
        <v>13</v>
      </c>
      <c r="D2" s="2">
        <v>13</v>
      </c>
      <c r="E2" s="2">
        <v>0</v>
      </c>
      <c r="F2" s="79">
        <v>3.33</v>
      </c>
      <c r="G2" s="156">
        <v>3.9039039611816406</v>
      </c>
      <c r="H2" s="156">
        <v>3.9039039611816406</v>
      </c>
      <c r="I2" s="95">
        <v>4.2042040824890137</v>
      </c>
      <c r="J2" s="159">
        <v>60.546730041503906</v>
      </c>
      <c r="K2" s="3">
        <v>0.59458208084106445</v>
      </c>
      <c r="L2" s="33">
        <v>34.4375</v>
      </c>
      <c r="M2" s="58">
        <v>45807</v>
      </c>
      <c r="N2" s="12">
        <v>1</v>
      </c>
      <c r="O2" s="12" t="s">
        <v>392</v>
      </c>
      <c r="P2" s="2">
        <v>42</v>
      </c>
      <c r="Q2" s="2">
        <v>50</v>
      </c>
      <c r="R2" s="2">
        <v>0</v>
      </c>
      <c r="S2" s="80">
        <v>14.89</v>
      </c>
      <c r="T2" s="160">
        <v>2.8206849098205566</v>
      </c>
      <c r="U2" s="154">
        <v>3.3579583168029785</v>
      </c>
      <c r="V2" s="154">
        <v>3.492276668548584</v>
      </c>
      <c r="W2" s="163">
        <v>68.999076843261719</v>
      </c>
      <c r="X2" s="3">
        <v>2.3478574752807617</v>
      </c>
      <c r="Y2" s="33">
        <v>161</v>
      </c>
      <c r="Z2" s="58">
        <v>45801</v>
      </c>
      <c r="AA2" s="12">
        <v>1</v>
      </c>
      <c r="AB2" s="12" t="s">
        <v>410</v>
      </c>
      <c r="AC2" s="2">
        <v>171</v>
      </c>
      <c r="AD2" s="2">
        <v>193</v>
      </c>
      <c r="AE2" s="2">
        <v>0</v>
      </c>
      <c r="AF2" s="16">
        <v>59.24</v>
      </c>
      <c r="AG2" s="160">
        <v>2.8865630626678467</v>
      </c>
      <c r="AH2" s="154">
        <v>3.2579338550567627</v>
      </c>
      <c r="AI2" s="154">
        <v>3.4098579883575439</v>
      </c>
      <c r="AJ2" s="163">
        <v>72.117347717285156</v>
      </c>
      <c r="AK2" s="3">
        <v>6.0318355560302734</v>
      </c>
      <c r="AL2" s="33">
        <v>491.125</v>
      </c>
      <c r="AM2" s="58">
        <v>45801</v>
      </c>
    </row>
    <row r="3" spans="1:39" x14ac:dyDescent="0.3">
      <c r="A3" s="12">
        <v>2</v>
      </c>
      <c r="B3" s="12" t="s">
        <v>408</v>
      </c>
      <c r="C3" s="2">
        <v>13</v>
      </c>
      <c r="D3" s="2">
        <v>13</v>
      </c>
      <c r="E3" s="2">
        <v>0</v>
      </c>
      <c r="F3" s="79">
        <v>3.34</v>
      </c>
      <c r="G3" s="156">
        <v>3.8922157287597656</v>
      </c>
      <c r="H3" s="156">
        <v>3.8922157287597656</v>
      </c>
      <c r="I3" s="95">
        <v>4.1916170120239258</v>
      </c>
      <c r="J3" s="159">
        <v>60.238880157470703</v>
      </c>
      <c r="K3" s="3">
        <v>0.59762066602706909</v>
      </c>
      <c r="L3" s="33">
        <v>34</v>
      </c>
      <c r="M3" s="58">
        <v>45810</v>
      </c>
      <c r="N3" s="12">
        <v>2</v>
      </c>
      <c r="O3" s="12" t="s">
        <v>830</v>
      </c>
      <c r="P3" s="2">
        <v>60</v>
      </c>
      <c r="Q3" s="2">
        <v>71</v>
      </c>
      <c r="R3" s="2">
        <v>0</v>
      </c>
      <c r="S3" s="82">
        <v>18.440000000000001</v>
      </c>
      <c r="T3" s="154">
        <v>3.2537961006164551</v>
      </c>
      <c r="U3" s="156">
        <v>3.850325345993042</v>
      </c>
      <c r="V3" s="95">
        <v>4.2299346923828125</v>
      </c>
      <c r="W3" s="166">
        <v>68.528732299804688</v>
      </c>
      <c r="X3" s="3">
        <v>2.3639719486236572</v>
      </c>
      <c r="Y3" s="33">
        <v>174.25</v>
      </c>
      <c r="Z3" s="58">
        <v>45810</v>
      </c>
      <c r="AA3" s="12">
        <v>2</v>
      </c>
      <c r="AB3" s="12" t="s">
        <v>393</v>
      </c>
      <c r="AC3" s="2">
        <v>148</v>
      </c>
      <c r="AD3" s="2">
        <v>177</v>
      </c>
      <c r="AE3" s="2">
        <v>0</v>
      </c>
      <c r="AF3" s="15">
        <v>54.74</v>
      </c>
      <c r="AG3" s="164">
        <v>2.7036900520324707</v>
      </c>
      <c r="AH3" s="165">
        <v>3.2334671020507813</v>
      </c>
      <c r="AI3" s="154">
        <v>3.4709534645080566</v>
      </c>
      <c r="AJ3" s="163">
        <v>71.389244079589844</v>
      </c>
      <c r="AK3" s="3">
        <v>6.0933547019958496</v>
      </c>
      <c r="AL3" s="33">
        <v>462.25</v>
      </c>
      <c r="AM3" s="58">
        <v>45801</v>
      </c>
    </row>
    <row r="4" spans="1:39" x14ac:dyDescent="0.3">
      <c r="A4" s="12">
        <v>3</v>
      </c>
      <c r="B4" s="12" t="s">
        <v>405</v>
      </c>
      <c r="C4" s="2">
        <v>11</v>
      </c>
      <c r="D4" s="2">
        <v>11</v>
      </c>
      <c r="E4" s="2">
        <v>0</v>
      </c>
      <c r="F4" s="79">
        <v>3.17</v>
      </c>
      <c r="G4" s="154">
        <v>3.4700314998626709</v>
      </c>
      <c r="H4" s="154">
        <v>3.4700314998626709</v>
      </c>
      <c r="I4" s="156">
        <v>3.7854888439178467</v>
      </c>
      <c r="J4" s="157">
        <v>55.705028533935547</v>
      </c>
      <c r="K4" s="3">
        <v>0.64626121520996094</v>
      </c>
      <c r="L4" s="33">
        <v>35.25</v>
      </c>
      <c r="M4" s="58">
        <v>45810</v>
      </c>
      <c r="N4" s="12">
        <v>3</v>
      </c>
      <c r="O4" s="12" t="s">
        <v>409</v>
      </c>
      <c r="P4" s="2">
        <v>53</v>
      </c>
      <c r="Q4" s="2">
        <v>57</v>
      </c>
      <c r="R4" s="2">
        <v>0</v>
      </c>
      <c r="S4" s="16">
        <v>17.190000000000001</v>
      </c>
      <c r="T4" s="165">
        <v>3.0831878185272217</v>
      </c>
      <c r="U4" s="154">
        <v>3.3158812522888184</v>
      </c>
      <c r="V4" s="161">
        <v>3.548574686050415</v>
      </c>
      <c r="W4" s="166">
        <v>68.205894470214844</v>
      </c>
      <c r="X4" s="3">
        <v>2.3751614093780518</v>
      </c>
      <c r="Y4" s="33">
        <v>161.75</v>
      </c>
      <c r="Z4" s="58">
        <v>45805</v>
      </c>
      <c r="AA4" s="12">
        <v>3</v>
      </c>
      <c r="AB4" s="12" t="s">
        <v>439</v>
      </c>
      <c r="AC4" s="2">
        <v>178</v>
      </c>
      <c r="AD4" s="2">
        <v>209</v>
      </c>
      <c r="AE4" s="2">
        <v>0</v>
      </c>
      <c r="AF4" s="82">
        <v>62.07</v>
      </c>
      <c r="AG4" s="160">
        <v>2.8677299022674561</v>
      </c>
      <c r="AH4" s="154">
        <v>3.3671660423278809</v>
      </c>
      <c r="AI4" s="161">
        <v>3.5766069889068604</v>
      </c>
      <c r="AJ4" s="163">
        <v>69.344223022460938</v>
      </c>
      <c r="AK4" s="3">
        <v>6.2730531692504883</v>
      </c>
      <c r="AL4" s="33">
        <v>541.1875</v>
      </c>
      <c r="AM4" s="58">
        <v>45779</v>
      </c>
    </row>
    <row r="5" spans="1:39" x14ac:dyDescent="0.3">
      <c r="A5" s="12">
        <v>4</v>
      </c>
      <c r="B5" s="12" t="s">
        <v>397</v>
      </c>
      <c r="C5" s="2">
        <v>14</v>
      </c>
      <c r="D5" s="2">
        <v>14</v>
      </c>
      <c r="E5" s="2">
        <v>0</v>
      </c>
      <c r="F5" s="14">
        <v>3.73</v>
      </c>
      <c r="G5" s="156">
        <v>3.7533512115478516</v>
      </c>
      <c r="H5" s="156">
        <v>3.7533512115478516</v>
      </c>
      <c r="I5" s="162">
        <v>4.2895441055297852</v>
      </c>
      <c r="J5" s="157">
        <v>53.768203735351563</v>
      </c>
      <c r="K5" s="3">
        <v>0.66954070329666138</v>
      </c>
      <c r="L5" s="33">
        <v>26.6875</v>
      </c>
      <c r="M5" s="58">
        <v>45717</v>
      </c>
      <c r="N5" s="12">
        <v>4</v>
      </c>
      <c r="O5" s="12" t="s">
        <v>415</v>
      </c>
      <c r="P5" s="2">
        <v>56</v>
      </c>
      <c r="Q5" s="2">
        <v>64</v>
      </c>
      <c r="R5" s="2">
        <v>0</v>
      </c>
      <c r="S5" s="16">
        <v>17.850000000000001</v>
      </c>
      <c r="T5" s="165">
        <v>3.1372549533843994</v>
      </c>
      <c r="U5" s="161">
        <v>3.5854341983795166</v>
      </c>
      <c r="V5" s="156">
        <v>3.8655462265014648</v>
      </c>
      <c r="W5" s="166">
        <v>67.595535278320313</v>
      </c>
      <c r="X5" s="3">
        <v>2.3966078758239746</v>
      </c>
      <c r="Y5" s="33">
        <v>161.75</v>
      </c>
      <c r="Z5" s="58">
        <v>45809</v>
      </c>
      <c r="AA5" s="12">
        <v>4</v>
      </c>
      <c r="AB5" s="12" t="s">
        <v>460</v>
      </c>
      <c r="AC5" s="2">
        <v>199</v>
      </c>
      <c r="AD5" s="2">
        <v>219</v>
      </c>
      <c r="AE5" s="2">
        <v>0</v>
      </c>
      <c r="AF5" s="84">
        <v>66.760000000000005</v>
      </c>
      <c r="AG5" s="160">
        <v>2.9808268547058105</v>
      </c>
      <c r="AH5" s="154">
        <v>3.2804074287414551</v>
      </c>
      <c r="AI5" s="154">
        <v>3.4451766014099121</v>
      </c>
      <c r="AJ5" s="166">
        <v>68.495895385742188</v>
      </c>
      <c r="AK5" s="3">
        <v>6.3507452011108398</v>
      </c>
      <c r="AL5" s="33">
        <v>600.8125</v>
      </c>
      <c r="AM5" s="58">
        <v>45779</v>
      </c>
    </row>
    <row r="6" spans="1:39" x14ac:dyDescent="0.3">
      <c r="A6" s="12">
        <v>5</v>
      </c>
      <c r="B6" s="12" t="s">
        <v>391</v>
      </c>
      <c r="C6" s="2">
        <v>11</v>
      </c>
      <c r="D6" s="2">
        <v>13</v>
      </c>
      <c r="E6" s="2">
        <v>0</v>
      </c>
      <c r="F6" s="79">
        <v>3.28</v>
      </c>
      <c r="G6" s="154">
        <v>3.3536586761474609</v>
      </c>
      <c r="H6" s="156">
        <v>3.9634146690368652</v>
      </c>
      <c r="I6" s="155">
        <v>4.5731706619262695</v>
      </c>
      <c r="J6" s="157">
        <v>52.566574096679688</v>
      </c>
      <c r="K6" s="3">
        <v>0.68484586477279663</v>
      </c>
      <c r="L6" s="33">
        <v>32.0625</v>
      </c>
      <c r="M6" s="58">
        <v>45762</v>
      </c>
      <c r="N6" s="12">
        <v>5</v>
      </c>
      <c r="O6" s="12" t="s">
        <v>415</v>
      </c>
      <c r="P6" s="2">
        <v>61</v>
      </c>
      <c r="Q6" s="2">
        <v>75</v>
      </c>
      <c r="R6" s="2">
        <v>0</v>
      </c>
      <c r="S6" s="171">
        <v>19.22</v>
      </c>
      <c r="T6" s="165">
        <v>3.1737773418426514</v>
      </c>
      <c r="U6" s="156">
        <v>3.9021854400634766</v>
      </c>
      <c r="V6" s="95">
        <v>4.1623311042785645</v>
      </c>
      <c r="W6" s="166">
        <v>64.93280029296875</v>
      </c>
      <c r="X6" s="3">
        <v>2.494887113571167</v>
      </c>
      <c r="Y6" s="33">
        <v>176</v>
      </c>
      <c r="Z6" s="58">
        <v>45767</v>
      </c>
      <c r="AA6" s="12">
        <v>5</v>
      </c>
      <c r="AB6" s="12" t="s">
        <v>429</v>
      </c>
      <c r="AC6" s="2">
        <v>172</v>
      </c>
      <c r="AD6" s="2">
        <v>210</v>
      </c>
      <c r="AE6" s="2">
        <v>0</v>
      </c>
      <c r="AF6" s="82">
        <v>61.62</v>
      </c>
      <c r="AG6" s="160">
        <v>2.7913014888763428</v>
      </c>
      <c r="AH6" s="154">
        <v>3.4079844951629639</v>
      </c>
      <c r="AI6" s="161">
        <v>3.6189548969268799</v>
      </c>
      <c r="AJ6" s="166">
        <v>67.840782165527344</v>
      </c>
      <c r="AK6" s="3">
        <v>6.4120726585388184</v>
      </c>
      <c r="AL6" s="33">
        <v>532.125</v>
      </c>
      <c r="AM6" s="58">
        <v>45783</v>
      </c>
    </row>
    <row r="7" spans="1:39" x14ac:dyDescent="0.3">
      <c r="A7" s="12">
        <v>6</v>
      </c>
      <c r="B7" s="12" t="s">
        <v>405</v>
      </c>
      <c r="C7" s="2">
        <v>14</v>
      </c>
      <c r="D7" s="2">
        <v>15</v>
      </c>
      <c r="E7" s="2">
        <v>0</v>
      </c>
      <c r="F7" s="14">
        <v>3.82</v>
      </c>
      <c r="G7" s="161">
        <v>3.6649215221405029</v>
      </c>
      <c r="H7" s="156">
        <v>3.926701545715332</v>
      </c>
      <c r="I7" s="95">
        <v>4.1884818077087402</v>
      </c>
      <c r="J7" s="157">
        <v>51.632461547851563</v>
      </c>
      <c r="K7" s="3">
        <v>0.69723576307296753</v>
      </c>
      <c r="L7" s="33">
        <v>32</v>
      </c>
      <c r="M7" s="58">
        <v>45766</v>
      </c>
      <c r="N7" s="12">
        <v>6</v>
      </c>
      <c r="O7" s="12" t="s">
        <v>467</v>
      </c>
      <c r="P7" s="2">
        <v>66</v>
      </c>
      <c r="Q7" s="2">
        <v>80</v>
      </c>
      <c r="R7" s="2">
        <v>0</v>
      </c>
      <c r="S7" s="84">
        <v>20.149999999999999</v>
      </c>
      <c r="T7" s="154">
        <v>3.2754342555999756</v>
      </c>
      <c r="U7" s="156">
        <v>3.9702234268188477</v>
      </c>
      <c r="V7" s="95">
        <v>4.2183623313903809</v>
      </c>
      <c r="W7" s="166">
        <v>64.832290649414063</v>
      </c>
      <c r="X7" s="3">
        <v>2.4987547397613525</v>
      </c>
      <c r="Y7" s="33">
        <v>189</v>
      </c>
      <c r="Z7" s="58">
        <v>45800</v>
      </c>
      <c r="AA7" s="12">
        <v>6</v>
      </c>
      <c r="AB7" s="12" t="s">
        <v>465</v>
      </c>
      <c r="AC7" s="2">
        <v>196</v>
      </c>
      <c r="AD7" s="2">
        <v>229</v>
      </c>
      <c r="AE7" s="2">
        <v>0</v>
      </c>
      <c r="AF7" s="84">
        <v>67</v>
      </c>
      <c r="AG7" s="160">
        <v>2.9253730773925781</v>
      </c>
      <c r="AH7" s="154">
        <v>3.4179103374481201</v>
      </c>
      <c r="AI7" s="161">
        <v>3.5373134613037109</v>
      </c>
      <c r="AJ7" s="166">
        <v>67.052993774414063</v>
      </c>
      <c r="AK7" s="3">
        <v>6.4874062538146973</v>
      </c>
      <c r="AL7" s="33">
        <v>619.3125</v>
      </c>
      <c r="AM7" s="58">
        <v>45782</v>
      </c>
    </row>
    <row r="8" spans="1:39" x14ac:dyDescent="0.3">
      <c r="A8" s="12">
        <v>7</v>
      </c>
      <c r="B8" s="12" t="s">
        <v>400</v>
      </c>
      <c r="C8" s="2">
        <v>15</v>
      </c>
      <c r="D8" s="2">
        <v>18</v>
      </c>
      <c r="E8" s="2">
        <v>0</v>
      </c>
      <c r="F8" s="14">
        <v>3.98</v>
      </c>
      <c r="G8" s="156">
        <v>3.7688441276550293</v>
      </c>
      <c r="H8" s="155">
        <v>4.5226130485534668</v>
      </c>
      <c r="I8" s="23">
        <v>5.0251255035400391</v>
      </c>
      <c r="J8" s="157">
        <v>51.593208312988281</v>
      </c>
      <c r="K8" s="3">
        <v>0.69776624441146851</v>
      </c>
      <c r="L8" s="33">
        <v>30.4375</v>
      </c>
      <c r="M8" s="58">
        <v>45762</v>
      </c>
      <c r="N8" s="12">
        <v>7</v>
      </c>
      <c r="O8" s="12" t="s">
        <v>425</v>
      </c>
      <c r="P8" s="2">
        <v>55</v>
      </c>
      <c r="Q8" s="2">
        <v>61</v>
      </c>
      <c r="R8" s="2">
        <v>0</v>
      </c>
      <c r="S8" s="82">
        <v>18.420000000000002</v>
      </c>
      <c r="T8" s="160">
        <v>2.9858849048614502</v>
      </c>
      <c r="U8" s="154">
        <v>3.3116178512573242</v>
      </c>
      <c r="V8" s="154">
        <v>3.3659067153930664</v>
      </c>
      <c r="W8" s="166">
        <v>62.933998107910156</v>
      </c>
      <c r="X8" s="3">
        <v>2.5741252899169922</v>
      </c>
      <c r="Y8" s="33">
        <v>160</v>
      </c>
      <c r="Z8" s="58">
        <v>45755</v>
      </c>
      <c r="AA8" s="12">
        <v>7</v>
      </c>
      <c r="AB8" s="12" t="s">
        <v>414</v>
      </c>
      <c r="AC8" s="2">
        <v>158</v>
      </c>
      <c r="AD8" s="2">
        <v>197</v>
      </c>
      <c r="AE8" s="2">
        <v>0</v>
      </c>
      <c r="AF8" s="16">
        <v>59.51</v>
      </c>
      <c r="AG8" s="164">
        <v>2.6550159454345703</v>
      </c>
      <c r="AH8" s="154">
        <v>3.3103680610656738</v>
      </c>
      <c r="AI8" s="154">
        <v>3.4784071445465088</v>
      </c>
      <c r="AJ8" s="166">
        <v>66.121612548828125</v>
      </c>
      <c r="AK8" s="3">
        <v>6.5787868499755859</v>
      </c>
      <c r="AL8" s="33">
        <v>514.9375</v>
      </c>
      <c r="AM8" s="58">
        <v>45809</v>
      </c>
    </row>
    <row r="9" spans="1:39" x14ac:dyDescent="0.3">
      <c r="A9" s="12">
        <v>8</v>
      </c>
      <c r="B9" s="12" t="s">
        <v>405</v>
      </c>
      <c r="C9" s="2">
        <v>14</v>
      </c>
      <c r="D9" s="2">
        <v>14</v>
      </c>
      <c r="E9" s="2">
        <v>0</v>
      </c>
      <c r="F9" s="14">
        <v>3.85</v>
      </c>
      <c r="G9" s="161">
        <v>3.6363637447357178</v>
      </c>
      <c r="H9" s="161">
        <v>3.6363637447357178</v>
      </c>
      <c r="I9" s="162">
        <v>4.4155845642089844</v>
      </c>
      <c r="J9" s="157">
        <v>50.950366973876953</v>
      </c>
      <c r="K9" s="3">
        <v>0.70656996965408325</v>
      </c>
      <c r="L9" s="33">
        <v>34.75</v>
      </c>
      <c r="M9" s="58">
        <v>45761</v>
      </c>
      <c r="N9" s="12">
        <v>8</v>
      </c>
      <c r="O9" s="12" t="s">
        <v>406</v>
      </c>
      <c r="P9" s="2">
        <v>72</v>
      </c>
      <c r="Q9" s="2">
        <v>86</v>
      </c>
      <c r="R9" s="2">
        <v>0</v>
      </c>
      <c r="S9" s="85">
        <v>21.66</v>
      </c>
      <c r="T9" s="154">
        <v>3.3240997791290283</v>
      </c>
      <c r="U9" s="156">
        <v>3.9704525470733643</v>
      </c>
      <c r="V9" s="95">
        <v>4.2474608421325684</v>
      </c>
      <c r="W9" s="166">
        <v>62.550117492675781</v>
      </c>
      <c r="X9" s="3">
        <v>2.5899231433868408</v>
      </c>
      <c r="Y9" s="33">
        <v>171.25</v>
      </c>
      <c r="Z9" s="58">
        <v>45716</v>
      </c>
      <c r="AA9" s="12">
        <v>8</v>
      </c>
      <c r="AB9" s="12" t="s">
        <v>399</v>
      </c>
      <c r="AC9" s="2">
        <v>152</v>
      </c>
      <c r="AD9" s="2">
        <v>176</v>
      </c>
      <c r="AE9" s="2">
        <v>0</v>
      </c>
      <c r="AF9" s="16">
        <v>58.2</v>
      </c>
      <c r="AG9" s="164">
        <v>2.6116838455200195</v>
      </c>
      <c r="AH9" s="165">
        <v>3.024055004119873</v>
      </c>
      <c r="AI9" s="165">
        <v>3.1958763599395752</v>
      </c>
      <c r="AJ9" s="166">
        <v>66.063835144042969</v>
      </c>
      <c r="AK9" s="3">
        <v>6.584540843963623</v>
      </c>
      <c r="AL9" s="33">
        <v>531</v>
      </c>
      <c r="AM9" s="58">
        <v>45779</v>
      </c>
    </row>
    <row r="10" spans="1:39" x14ac:dyDescent="0.3">
      <c r="A10" s="12">
        <v>9</v>
      </c>
      <c r="B10" s="12" t="s">
        <v>391</v>
      </c>
      <c r="C10" s="2">
        <v>12</v>
      </c>
      <c r="D10" s="2">
        <v>15</v>
      </c>
      <c r="E10" s="2">
        <v>0</v>
      </c>
      <c r="F10" s="14">
        <v>3.54</v>
      </c>
      <c r="G10" s="154">
        <v>3.3898305892944336</v>
      </c>
      <c r="H10" s="95">
        <v>4.2372879981994629</v>
      </c>
      <c r="I10" s="95">
        <v>4.2372879981994629</v>
      </c>
      <c r="J10" s="157">
        <v>50.3707275390625</v>
      </c>
      <c r="K10" s="3">
        <v>0.71470081806182861</v>
      </c>
      <c r="L10" s="33">
        <v>34.5625</v>
      </c>
      <c r="M10" s="58">
        <v>45810</v>
      </c>
      <c r="N10" s="12">
        <v>9</v>
      </c>
      <c r="O10" s="12" t="s">
        <v>467</v>
      </c>
      <c r="P10" s="2">
        <v>67</v>
      </c>
      <c r="Q10" s="2">
        <v>80</v>
      </c>
      <c r="R10" s="2">
        <v>0</v>
      </c>
      <c r="S10" s="84">
        <v>20.81</v>
      </c>
      <c r="T10" s="165">
        <v>3.2196059226989746</v>
      </c>
      <c r="U10" s="156">
        <v>3.8443057537078857</v>
      </c>
      <c r="V10" s="95">
        <v>4.0845746994018555</v>
      </c>
      <c r="W10" s="159">
        <v>62.305633544921875</v>
      </c>
      <c r="X10" s="3">
        <v>2.600085973739624</v>
      </c>
      <c r="Y10" s="33">
        <v>185.0625</v>
      </c>
      <c r="Z10" s="58">
        <v>45805</v>
      </c>
      <c r="AA10" s="12">
        <v>9</v>
      </c>
      <c r="AB10" s="12" t="s">
        <v>418</v>
      </c>
      <c r="AC10" s="2">
        <v>160</v>
      </c>
      <c r="AD10" s="2">
        <v>191</v>
      </c>
      <c r="AE10" s="2">
        <v>0</v>
      </c>
      <c r="AF10" s="82">
        <v>60.12</v>
      </c>
      <c r="AG10" s="164">
        <v>2.661344051361084</v>
      </c>
      <c r="AH10" s="165">
        <v>3.1769795417785645</v>
      </c>
      <c r="AI10" s="154">
        <v>3.3266799449920654</v>
      </c>
      <c r="AJ10" s="166">
        <v>65.807746887207031</v>
      </c>
      <c r="AK10" s="3">
        <v>6.6101641654968262</v>
      </c>
      <c r="AL10" s="33">
        <v>533.1875</v>
      </c>
      <c r="AM10" s="58">
        <v>45772</v>
      </c>
    </row>
    <row r="11" spans="1:39" x14ac:dyDescent="0.3">
      <c r="A11" s="12">
        <v>10</v>
      </c>
      <c r="B11" s="12" t="s">
        <v>405</v>
      </c>
      <c r="C11" s="2">
        <v>15</v>
      </c>
      <c r="D11" s="2">
        <v>14</v>
      </c>
      <c r="E11" s="2">
        <v>1</v>
      </c>
      <c r="F11" s="80">
        <v>4.05</v>
      </c>
      <c r="G11" s="161">
        <v>3.7037036418914795</v>
      </c>
      <c r="H11" s="154">
        <v>3.4567899703979492</v>
      </c>
      <c r="I11" s="156">
        <v>3.9506170749664307</v>
      </c>
      <c r="J11" s="157">
        <v>50.086441040039063</v>
      </c>
      <c r="K11" s="3">
        <v>0.71875739097595215</v>
      </c>
      <c r="L11" s="33">
        <v>38.8125</v>
      </c>
      <c r="M11" s="58">
        <v>45810</v>
      </c>
      <c r="N11" s="12">
        <v>10</v>
      </c>
      <c r="O11" s="12" t="s">
        <v>461</v>
      </c>
      <c r="P11" s="2">
        <v>80</v>
      </c>
      <c r="Q11" s="2">
        <v>93</v>
      </c>
      <c r="R11" s="2">
        <v>0</v>
      </c>
      <c r="S11" s="86">
        <v>23.28</v>
      </c>
      <c r="T11" s="154">
        <v>3.4364259243011475</v>
      </c>
      <c r="U11" s="156">
        <v>3.9948451519012451</v>
      </c>
      <c r="V11" s="95">
        <v>4.2096219062805176</v>
      </c>
      <c r="W11" s="159">
        <v>61.480010986328125</v>
      </c>
      <c r="X11" s="3">
        <v>2.6350028514862061</v>
      </c>
      <c r="Y11" s="33">
        <v>226.1875</v>
      </c>
      <c r="Z11" s="58">
        <v>45810</v>
      </c>
      <c r="AA11" s="12">
        <v>10</v>
      </c>
      <c r="AB11" s="12" t="s">
        <v>435</v>
      </c>
      <c r="AC11" s="2">
        <v>166</v>
      </c>
      <c r="AD11" s="2">
        <v>200</v>
      </c>
      <c r="AE11" s="2">
        <v>0</v>
      </c>
      <c r="AF11" s="82">
        <v>61.71</v>
      </c>
      <c r="AG11" s="164">
        <v>2.6900017261505127</v>
      </c>
      <c r="AH11" s="165">
        <v>3.2409658432006836</v>
      </c>
      <c r="AI11" s="154">
        <v>3.4192190170288086</v>
      </c>
      <c r="AJ11" s="166">
        <v>65.311988830566406</v>
      </c>
      <c r="AK11" s="3">
        <v>6.6603388786315918</v>
      </c>
      <c r="AL11" s="33">
        <v>555.5</v>
      </c>
      <c r="AM11" s="58">
        <v>45809</v>
      </c>
    </row>
    <row r="12" spans="1:39" x14ac:dyDescent="0.3">
      <c r="A12" s="12">
        <v>11</v>
      </c>
      <c r="B12" s="12" t="s">
        <v>397</v>
      </c>
      <c r="C12" s="2">
        <v>12</v>
      </c>
      <c r="D12" s="2">
        <v>12</v>
      </c>
      <c r="E12" s="2">
        <v>0</v>
      </c>
      <c r="F12" s="14">
        <v>3.56</v>
      </c>
      <c r="G12" s="154">
        <v>3.3707866668701172</v>
      </c>
      <c r="H12" s="154">
        <v>3.3707866668701172</v>
      </c>
      <c r="I12" s="95">
        <v>4.2134833335876465</v>
      </c>
      <c r="J12" s="158">
        <v>49.890602111816406</v>
      </c>
      <c r="K12" s="3">
        <v>0.72157877683639526</v>
      </c>
      <c r="L12" s="33">
        <v>28.375</v>
      </c>
      <c r="M12" s="58">
        <v>45762</v>
      </c>
      <c r="N12" s="12">
        <v>11</v>
      </c>
      <c r="O12" s="12" t="s">
        <v>420</v>
      </c>
      <c r="P12" s="2">
        <v>52</v>
      </c>
      <c r="Q12" s="2">
        <v>61</v>
      </c>
      <c r="R12" s="2">
        <v>0</v>
      </c>
      <c r="S12" s="82">
        <v>18.100000000000001</v>
      </c>
      <c r="T12" s="160">
        <v>2.8729281425476074</v>
      </c>
      <c r="U12" s="154">
        <v>3.3701655864715576</v>
      </c>
      <c r="V12" s="161">
        <v>3.6464087963104248</v>
      </c>
      <c r="W12" s="159">
        <v>61.300605773925781</v>
      </c>
      <c r="X12" s="3">
        <v>2.6427145004272461</v>
      </c>
      <c r="Y12" s="33">
        <v>170.0625</v>
      </c>
      <c r="Z12" s="58">
        <v>45805</v>
      </c>
      <c r="AA12" s="12">
        <v>11</v>
      </c>
      <c r="AB12" s="12" t="s">
        <v>455</v>
      </c>
      <c r="AC12" s="2">
        <v>172</v>
      </c>
      <c r="AD12" s="2">
        <v>208</v>
      </c>
      <c r="AE12" s="2">
        <v>0</v>
      </c>
      <c r="AF12" s="171">
        <v>63.04</v>
      </c>
      <c r="AG12" s="164">
        <v>2.728426456451416</v>
      </c>
      <c r="AH12" s="154">
        <v>3.299492359161377</v>
      </c>
      <c r="AI12" s="154">
        <v>3.4898476600646973</v>
      </c>
      <c r="AJ12" s="166">
        <v>65.263465881347656</v>
      </c>
      <c r="AK12" s="3">
        <v>6.6652908325195313</v>
      </c>
      <c r="AL12" s="33">
        <v>533</v>
      </c>
      <c r="AM12" s="58">
        <v>45805</v>
      </c>
    </row>
    <row r="13" spans="1:39" x14ac:dyDescent="0.3">
      <c r="A13" s="12">
        <v>12</v>
      </c>
      <c r="B13" s="12" t="s">
        <v>397</v>
      </c>
      <c r="C13" s="2">
        <v>20</v>
      </c>
      <c r="D13" s="2">
        <v>20</v>
      </c>
      <c r="E13" s="2">
        <v>0</v>
      </c>
      <c r="F13" s="15">
        <v>4.8099999999999996</v>
      </c>
      <c r="G13" s="95">
        <v>4.1580042839050293</v>
      </c>
      <c r="H13" s="95">
        <v>4.1580042839050293</v>
      </c>
      <c r="I13" s="155">
        <v>4.5738048553466797</v>
      </c>
      <c r="J13" s="158">
        <v>49.852375030517578</v>
      </c>
      <c r="K13" s="3">
        <v>0.72213208675384521</v>
      </c>
      <c r="L13" s="33">
        <v>39.5625</v>
      </c>
      <c r="M13" s="58">
        <v>45762</v>
      </c>
      <c r="N13" s="12">
        <v>12</v>
      </c>
      <c r="O13" s="12" t="s">
        <v>406</v>
      </c>
      <c r="P13" s="2">
        <v>49</v>
      </c>
      <c r="Q13" s="2">
        <v>59</v>
      </c>
      <c r="R13" s="2">
        <v>0</v>
      </c>
      <c r="S13" s="16">
        <v>17.489999999999998</v>
      </c>
      <c r="T13" s="160">
        <v>2.8016009330749512</v>
      </c>
      <c r="U13" s="154">
        <v>3.3733563423156738</v>
      </c>
      <c r="V13" s="161">
        <v>3.71640944480896</v>
      </c>
      <c r="W13" s="159">
        <v>61.230587005615234</v>
      </c>
      <c r="X13" s="3">
        <v>2.6457364559173584</v>
      </c>
      <c r="Y13" s="33">
        <v>145.25</v>
      </c>
      <c r="Z13" s="58">
        <v>45761</v>
      </c>
      <c r="AA13" s="12">
        <v>12</v>
      </c>
      <c r="AB13" s="12" t="s">
        <v>484</v>
      </c>
      <c r="AC13" s="2">
        <v>177</v>
      </c>
      <c r="AD13" s="2">
        <v>211</v>
      </c>
      <c r="AE13" s="2">
        <v>0</v>
      </c>
      <c r="AF13" s="171">
        <v>64.41</v>
      </c>
      <c r="AG13" s="164">
        <v>2.7480204105377197</v>
      </c>
      <c r="AH13" s="154">
        <v>3.2758886814117432</v>
      </c>
      <c r="AI13" s="154">
        <v>3.4621951580047607</v>
      </c>
      <c r="AJ13" s="166">
        <v>64.750312805175781</v>
      </c>
      <c r="AK13" s="3">
        <v>6.7181143760681152</v>
      </c>
      <c r="AL13" s="33">
        <v>539.4375</v>
      </c>
      <c r="AM13" s="58">
        <v>45783</v>
      </c>
    </row>
    <row r="14" spans="1:39" x14ac:dyDescent="0.3">
      <c r="A14" s="12">
        <v>13</v>
      </c>
      <c r="B14" s="12" t="s">
        <v>397</v>
      </c>
      <c r="C14" s="2">
        <v>15</v>
      </c>
      <c r="D14" s="2">
        <v>15</v>
      </c>
      <c r="E14" s="2">
        <v>0</v>
      </c>
      <c r="F14" s="80">
        <v>4.07</v>
      </c>
      <c r="G14" s="161">
        <v>3.6855034828186035</v>
      </c>
      <c r="H14" s="161">
        <v>3.6855034828186035</v>
      </c>
      <c r="I14" s="156">
        <v>3.9312038421630859</v>
      </c>
      <c r="J14" s="158">
        <v>49.668750762939453</v>
      </c>
      <c r="K14" s="3">
        <v>0.72480177879333496</v>
      </c>
      <c r="L14" s="33">
        <v>34.5</v>
      </c>
      <c r="M14" s="58">
        <v>45706</v>
      </c>
      <c r="N14" s="12">
        <v>13</v>
      </c>
      <c r="O14" s="12" t="s">
        <v>444</v>
      </c>
      <c r="P14" s="2">
        <v>58</v>
      </c>
      <c r="Q14" s="2">
        <v>67</v>
      </c>
      <c r="R14" s="2">
        <v>0</v>
      </c>
      <c r="S14" s="171">
        <v>19.34</v>
      </c>
      <c r="T14" s="160">
        <v>2.9989657402038574</v>
      </c>
      <c r="U14" s="154">
        <v>3.464322566986084</v>
      </c>
      <c r="V14" s="161">
        <v>3.6194415092468262</v>
      </c>
      <c r="W14" s="159">
        <v>61.089561462402344</v>
      </c>
      <c r="X14" s="3">
        <v>2.6518442630767822</v>
      </c>
      <c r="Y14" s="33">
        <v>202.75</v>
      </c>
      <c r="Z14" s="58">
        <v>45805</v>
      </c>
      <c r="AA14" s="12">
        <v>13</v>
      </c>
      <c r="AB14" s="12" t="s">
        <v>448</v>
      </c>
      <c r="AC14" s="2">
        <v>183</v>
      </c>
      <c r="AD14" s="2">
        <v>218</v>
      </c>
      <c r="AE14" s="2">
        <v>0</v>
      </c>
      <c r="AF14" s="84">
        <v>65.73</v>
      </c>
      <c r="AG14" s="160">
        <v>2.7841167449951172</v>
      </c>
      <c r="AH14" s="154">
        <v>3.3165979385375977</v>
      </c>
      <c r="AI14" s="161">
        <v>3.5448043346405029</v>
      </c>
      <c r="AJ14" s="166">
        <v>64.675849914550781</v>
      </c>
      <c r="AK14" s="3">
        <v>6.7258491516113281</v>
      </c>
      <c r="AL14" s="33">
        <v>570.3125</v>
      </c>
      <c r="AM14" s="58">
        <v>45806</v>
      </c>
    </row>
    <row r="15" spans="1:39" x14ac:dyDescent="0.3">
      <c r="A15" s="12">
        <v>14</v>
      </c>
      <c r="B15" s="12" t="s">
        <v>433</v>
      </c>
      <c r="C15" s="2">
        <v>19</v>
      </c>
      <c r="D15" s="2">
        <v>22</v>
      </c>
      <c r="E15" s="2">
        <v>0</v>
      </c>
      <c r="F15" s="15">
        <v>4.68</v>
      </c>
      <c r="G15" s="95">
        <v>4.0598292350769043</v>
      </c>
      <c r="H15" s="155">
        <v>4.7008547782897949</v>
      </c>
      <c r="I15" s="170">
        <v>4.9145302772521973</v>
      </c>
      <c r="J15" s="158">
        <v>49.617877960205078</v>
      </c>
      <c r="K15" s="3">
        <v>0.72554492950439453</v>
      </c>
      <c r="L15" s="33">
        <v>35.75</v>
      </c>
      <c r="M15" s="58">
        <v>45765</v>
      </c>
      <c r="N15" s="12">
        <v>14</v>
      </c>
      <c r="O15" s="12" t="s">
        <v>415</v>
      </c>
      <c r="P15" s="2">
        <v>65</v>
      </c>
      <c r="Q15" s="2">
        <v>80</v>
      </c>
      <c r="R15" s="2">
        <v>0</v>
      </c>
      <c r="S15" s="84">
        <v>20.74</v>
      </c>
      <c r="T15" s="165">
        <v>3.1340405941009521</v>
      </c>
      <c r="U15" s="156">
        <v>3.8572807312011719</v>
      </c>
      <c r="V15" s="95">
        <v>4.1947927474975586</v>
      </c>
      <c r="W15" s="159">
        <v>60.792991638183594</v>
      </c>
      <c r="X15" s="3">
        <v>2.664780855178833</v>
      </c>
      <c r="Y15" s="33">
        <v>182.375</v>
      </c>
      <c r="Z15" s="58">
        <v>45763</v>
      </c>
      <c r="AA15" s="12">
        <v>14</v>
      </c>
      <c r="AB15" s="12" t="s">
        <v>478</v>
      </c>
      <c r="AC15" s="2">
        <v>181</v>
      </c>
      <c r="AD15" s="2">
        <v>219</v>
      </c>
      <c r="AE15" s="2">
        <v>0</v>
      </c>
      <c r="AF15" s="84">
        <v>65.5</v>
      </c>
      <c r="AG15" s="160">
        <v>2.7633588314056396</v>
      </c>
      <c r="AH15" s="154">
        <v>3.3435113430023193</v>
      </c>
      <c r="AI15" s="161">
        <v>3.5572519302368164</v>
      </c>
      <c r="AJ15" s="166">
        <v>64.351341247558594</v>
      </c>
      <c r="AK15" s="3">
        <v>6.759765625</v>
      </c>
      <c r="AL15" s="33">
        <v>562.375</v>
      </c>
      <c r="AM15" s="58">
        <v>45808</v>
      </c>
    </row>
    <row r="16" spans="1:39" x14ac:dyDescent="0.3">
      <c r="A16" s="12">
        <v>15</v>
      </c>
      <c r="B16" s="12" t="s">
        <v>397</v>
      </c>
      <c r="C16" s="2">
        <v>15</v>
      </c>
      <c r="D16" s="2">
        <v>15</v>
      </c>
      <c r="E16" s="2">
        <v>0</v>
      </c>
      <c r="F16" s="80">
        <v>4.08</v>
      </c>
      <c r="G16" s="161">
        <v>3.6764707565307617</v>
      </c>
      <c r="H16" s="161">
        <v>3.6764707565307617</v>
      </c>
      <c r="I16" s="156">
        <v>3.9215686321258545</v>
      </c>
      <c r="J16" s="158">
        <v>49.461978912353516</v>
      </c>
      <c r="K16" s="3">
        <v>0.72783178091049194</v>
      </c>
      <c r="L16" s="33">
        <v>25.3125</v>
      </c>
      <c r="M16" s="58">
        <v>45756</v>
      </c>
      <c r="N16" s="12">
        <v>15</v>
      </c>
      <c r="O16" s="12" t="s">
        <v>395</v>
      </c>
      <c r="P16" s="2">
        <v>40</v>
      </c>
      <c r="Q16" s="2">
        <v>44</v>
      </c>
      <c r="R16" s="2">
        <v>0</v>
      </c>
      <c r="S16" s="15">
        <v>15.62</v>
      </c>
      <c r="T16" s="164">
        <v>2.5608193874359131</v>
      </c>
      <c r="U16" s="160">
        <v>2.8169014453887939</v>
      </c>
      <c r="V16" s="165">
        <v>3.008962869644165</v>
      </c>
      <c r="W16" s="159">
        <v>60.578323364257813</v>
      </c>
      <c r="X16" s="3">
        <v>2.6742238998413086</v>
      </c>
      <c r="Y16" s="33">
        <v>130.0625</v>
      </c>
      <c r="Z16" s="58">
        <v>45766</v>
      </c>
      <c r="AA16" s="12">
        <v>15</v>
      </c>
      <c r="AB16" s="12" t="s">
        <v>468</v>
      </c>
      <c r="AC16" s="2">
        <v>196</v>
      </c>
      <c r="AD16" s="2">
        <v>229</v>
      </c>
      <c r="AE16" s="2">
        <v>0</v>
      </c>
      <c r="AF16" s="85">
        <v>68.77</v>
      </c>
      <c r="AG16" s="160">
        <v>2.8500800132751465</v>
      </c>
      <c r="AH16" s="154">
        <v>3.3299405574798584</v>
      </c>
      <c r="AI16" s="161">
        <v>3.5189764499664307</v>
      </c>
      <c r="AJ16" s="166">
        <v>64.145622253417969</v>
      </c>
      <c r="AK16" s="3">
        <v>6.7814450263977051</v>
      </c>
      <c r="AL16" s="33">
        <v>531.75</v>
      </c>
      <c r="AM16" s="58">
        <v>45768</v>
      </c>
    </row>
    <row r="17" spans="1:39" x14ac:dyDescent="0.3">
      <c r="A17" s="12">
        <v>16</v>
      </c>
      <c r="B17" s="12" t="s">
        <v>408</v>
      </c>
      <c r="C17" s="2">
        <v>27</v>
      </c>
      <c r="D17" s="2">
        <v>27</v>
      </c>
      <c r="E17" s="2">
        <v>0</v>
      </c>
      <c r="F17" s="16">
        <v>5.78</v>
      </c>
      <c r="G17" s="155">
        <v>4.6712799072265625</v>
      </c>
      <c r="H17" s="155">
        <v>4.6712799072265625</v>
      </c>
      <c r="I17" s="23">
        <v>5.017301082611084</v>
      </c>
      <c r="J17" s="158">
        <v>49.248035430908203</v>
      </c>
      <c r="K17" s="3">
        <v>0.73099362850189209</v>
      </c>
      <c r="L17" s="33">
        <v>57.75</v>
      </c>
      <c r="M17" s="58">
        <v>45763</v>
      </c>
      <c r="N17" s="12">
        <v>16</v>
      </c>
      <c r="O17" s="12" t="s">
        <v>491</v>
      </c>
      <c r="P17" s="2">
        <v>65</v>
      </c>
      <c r="Q17" s="2">
        <v>78</v>
      </c>
      <c r="R17" s="2">
        <v>0</v>
      </c>
      <c r="S17" s="84">
        <v>20.88</v>
      </c>
      <c r="T17" s="165">
        <v>3.1130268573760986</v>
      </c>
      <c r="U17" s="161">
        <v>3.7356324195861816</v>
      </c>
      <c r="V17" s="95">
        <v>4.0708813667297363</v>
      </c>
      <c r="W17" s="159">
        <v>60.101673126220703</v>
      </c>
      <c r="X17" s="3">
        <v>2.6954324245452881</v>
      </c>
      <c r="Y17" s="33">
        <v>198.375</v>
      </c>
      <c r="Z17" s="58">
        <v>45800</v>
      </c>
      <c r="AA17" s="12">
        <v>16</v>
      </c>
      <c r="AB17" s="12" t="s">
        <v>499</v>
      </c>
      <c r="AC17" s="2">
        <v>170</v>
      </c>
      <c r="AD17" s="2">
        <v>202</v>
      </c>
      <c r="AE17" s="2">
        <v>0</v>
      </c>
      <c r="AF17" s="171">
        <v>63.4</v>
      </c>
      <c r="AG17" s="164">
        <v>2.6813879013061523</v>
      </c>
      <c r="AH17" s="165">
        <v>3.1861197948455811</v>
      </c>
      <c r="AI17" s="154">
        <v>3.3596212863922119</v>
      </c>
      <c r="AJ17" s="166">
        <v>63.883167266845703</v>
      </c>
      <c r="AK17" s="3">
        <v>6.8093056678771973</v>
      </c>
      <c r="AL17" s="33">
        <v>658.75</v>
      </c>
      <c r="AM17" s="58">
        <v>45782</v>
      </c>
    </row>
    <row r="18" spans="1:39" x14ac:dyDescent="0.3">
      <c r="A18" s="12">
        <v>17</v>
      </c>
      <c r="B18" s="12" t="s">
        <v>433</v>
      </c>
      <c r="C18" s="2">
        <v>18</v>
      </c>
      <c r="D18" s="2">
        <v>21</v>
      </c>
      <c r="E18" s="2">
        <v>0</v>
      </c>
      <c r="F18" s="15">
        <v>4.58</v>
      </c>
      <c r="G18" s="156">
        <v>3.9301309585571289</v>
      </c>
      <c r="H18" s="155">
        <v>4.5851531028747559</v>
      </c>
      <c r="I18" s="170">
        <v>4.8034934997558594</v>
      </c>
      <c r="J18" s="158">
        <v>48.764492034912109</v>
      </c>
      <c r="K18" s="3">
        <v>0.73824208974838257</v>
      </c>
      <c r="L18" s="33">
        <v>41.1875</v>
      </c>
      <c r="M18" s="58">
        <v>45810</v>
      </c>
      <c r="N18" s="12">
        <v>17</v>
      </c>
      <c r="O18" s="12" t="s">
        <v>438</v>
      </c>
      <c r="P18" s="2">
        <v>60</v>
      </c>
      <c r="Q18" s="2">
        <v>71</v>
      </c>
      <c r="R18" s="2">
        <v>0</v>
      </c>
      <c r="S18" s="171">
        <v>19.920000000000002</v>
      </c>
      <c r="T18" s="165">
        <v>3.0120482444763184</v>
      </c>
      <c r="U18" s="161">
        <v>3.5642569065093994</v>
      </c>
      <c r="V18" s="161">
        <v>3.7148594856262207</v>
      </c>
      <c r="W18" s="159">
        <v>60.099987030029297</v>
      </c>
      <c r="X18" s="3">
        <v>2.6955080032348633</v>
      </c>
      <c r="Y18" s="33">
        <v>183.1875</v>
      </c>
      <c r="Z18" s="58">
        <v>45767</v>
      </c>
      <c r="AA18" s="12">
        <v>17</v>
      </c>
      <c r="AB18" s="12" t="s">
        <v>446</v>
      </c>
      <c r="AC18" s="2">
        <v>165</v>
      </c>
      <c r="AD18" s="2">
        <v>204</v>
      </c>
      <c r="AE18" s="2">
        <v>0</v>
      </c>
      <c r="AF18" s="82">
        <v>62.36</v>
      </c>
      <c r="AG18" s="164">
        <v>2.6459269523620605</v>
      </c>
      <c r="AH18" s="154">
        <v>3.2713277339935303</v>
      </c>
      <c r="AI18" s="154">
        <v>3.4477229118347168</v>
      </c>
      <c r="AJ18" s="166">
        <v>63.772407531738281</v>
      </c>
      <c r="AK18" s="3">
        <v>6.821131706237793</v>
      </c>
      <c r="AL18" s="33">
        <v>527.75</v>
      </c>
      <c r="AM18" s="58">
        <v>45794</v>
      </c>
    </row>
    <row r="19" spans="1:39" x14ac:dyDescent="0.3">
      <c r="A19" s="12">
        <v>18</v>
      </c>
      <c r="B19" s="12" t="s">
        <v>400</v>
      </c>
      <c r="C19" s="2">
        <v>13</v>
      </c>
      <c r="D19" s="2">
        <v>16</v>
      </c>
      <c r="E19" s="2">
        <v>0</v>
      </c>
      <c r="F19" s="14">
        <v>3.8</v>
      </c>
      <c r="G19" s="154">
        <v>3.4210526943206787</v>
      </c>
      <c r="H19" s="95">
        <v>4.2105264663696289</v>
      </c>
      <c r="I19" s="162">
        <v>4.4736843109130859</v>
      </c>
      <c r="J19" s="158">
        <v>48.374195098876953</v>
      </c>
      <c r="K19" s="3">
        <v>0.74419844150543213</v>
      </c>
      <c r="L19" s="33">
        <v>35.6875</v>
      </c>
      <c r="M19" s="58">
        <v>45717</v>
      </c>
      <c r="N19" s="12">
        <v>18</v>
      </c>
      <c r="O19" s="12" t="s">
        <v>434</v>
      </c>
      <c r="P19" s="2">
        <v>69</v>
      </c>
      <c r="Q19" s="2">
        <v>85</v>
      </c>
      <c r="R19" s="2">
        <v>0</v>
      </c>
      <c r="S19" s="85">
        <v>21.82</v>
      </c>
      <c r="T19" s="165">
        <v>3.1622364521026611</v>
      </c>
      <c r="U19" s="156">
        <v>3.8955087661743164</v>
      </c>
      <c r="V19" s="95">
        <v>4.1704859733581543</v>
      </c>
      <c r="W19" s="159">
        <v>59.19854736328125</v>
      </c>
      <c r="X19" s="3">
        <v>2.7365536689758301</v>
      </c>
      <c r="Y19" s="33">
        <v>207.0625</v>
      </c>
      <c r="Z19" s="58">
        <v>45767</v>
      </c>
      <c r="AA19" s="12">
        <v>18</v>
      </c>
      <c r="AB19" s="12" t="s">
        <v>399</v>
      </c>
      <c r="AC19" s="2">
        <v>170</v>
      </c>
      <c r="AD19" s="2">
        <v>198</v>
      </c>
      <c r="AE19" s="2">
        <v>0</v>
      </c>
      <c r="AF19" s="171">
        <v>63.69</v>
      </c>
      <c r="AG19" s="164">
        <v>2.6691789627075195</v>
      </c>
      <c r="AH19" s="165">
        <v>3.1088082790374756</v>
      </c>
      <c r="AI19" s="154">
        <v>3.2972209453582764</v>
      </c>
      <c r="AJ19" s="166">
        <v>63.389461517333984</v>
      </c>
      <c r="AK19" s="3">
        <v>6.8623394966125488</v>
      </c>
      <c r="AL19" s="33">
        <v>511.625</v>
      </c>
      <c r="AM19" s="58">
        <v>45705</v>
      </c>
    </row>
    <row r="20" spans="1:39" x14ac:dyDescent="0.3">
      <c r="A20" s="12">
        <v>19</v>
      </c>
      <c r="B20" s="12" t="s">
        <v>405</v>
      </c>
      <c r="C20" s="2">
        <v>11</v>
      </c>
      <c r="D20" s="2">
        <v>11</v>
      </c>
      <c r="E20" s="2">
        <v>0</v>
      </c>
      <c r="F20" s="79">
        <v>3.45</v>
      </c>
      <c r="G20" s="165">
        <v>3.1884057521820068</v>
      </c>
      <c r="H20" s="165">
        <v>3.1884057521820068</v>
      </c>
      <c r="I20" s="154">
        <v>3.4782607555389404</v>
      </c>
      <c r="J20" s="158">
        <v>48.239490509033203</v>
      </c>
      <c r="K20" s="3">
        <v>0.74627655744552612</v>
      </c>
      <c r="L20" s="33">
        <v>33.6875</v>
      </c>
      <c r="M20" s="58">
        <v>45762</v>
      </c>
      <c r="N20" s="12">
        <v>19</v>
      </c>
      <c r="O20" s="12" t="s">
        <v>406</v>
      </c>
      <c r="P20" s="2">
        <v>56</v>
      </c>
      <c r="Q20" s="2">
        <v>66</v>
      </c>
      <c r="R20" s="2">
        <v>0</v>
      </c>
      <c r="S20" s="171">
        <v>19.3</v>
      </c>
      <c r="T20" s="160">
        <v>2.9015545845031738</v>
      </c>
      <c r="U20" s="154">
        <v>3.4196891784667969</v>
      </c>
      <c r="V20" s="161">
        <v>3.5751297473907471</v>
      </c>
      <c r="W20" s="159">
        <v>59.190998077392578</v>
      </c>
      <c r="X20" s="3">
        <v>2.7369027137756348</v>
      </c>
      <c r="Y20" s="33">
        <v>192.25</v>
      </c>
      <c r="Z20" s="58">
        <v>45805</v>
      </c>
      <c r="AA20" s="12">
        <v>19</v>
      </c>
      <c r="AB20" s="12" t="s">
        <v>475</v>
      </c>
      <c r="AC20" s="2">
        <v>188</v>
      </c>
      <c r="AD20" s="2">
        <v>230</v>
      </c>
      <c r="AE20" s="2">
        <v>0</v>
      </c>
      <c r="AF20" s="85">
        <v>67.63</v>
      </c>
      <c r="AG20" s="160">
        <v>2.7798316478729248</v>
      </c>
      <c r="AH20" s="154">
        <v>3.40085768699646</v>
      </c>
      <c r="AI20" s="161">
        <v>3.6226527690887451</v>
      </c>
      <c r="AJ20" s="166">
        <v>63.300945281982422</v>
      </c>
      <c r="AK20" s="3">
        <v>6.8719353675842285</v>
      </c>
      <c r="AL20" s="33">
        <v>551</v>
      </c>
      <c r="AM20" s="58">
        <v>45807</v>
      </c>
    </row>
    <row r="21" spans="1:39" x14ac:dyDescent="0.3">
      <c r="A21" s="12">
        <v>20</v>
      </c>
      <c r="B21" s="12" t="s">
        <v>408</v>
      </c>
      <c r="C21" s="2">
        <v>15</v>
      </c>
      <c r="D21" s="2">
        <v>15</v>
      </c>
      <c r="E21" s="2">
        <v>0</v>
      </c>
      <c r="F21" s="80">
        <v>4.1500000000000004</v>
      </c>
      <c r="G21" s="161">
        <v>3.6144578456878662</v>
      </c>
      <c r="H21" s="161">
        <v>3.6144578456878662</v>
      </c>
      <c r="I21" s="95">
        <v>4.0963854789733887</v>
      </c>
      <c r="J21" s="158">
        <v>48.052055358886719</v>
      </c>
      <c r="K21" s="3">
        <v>0.74918752908706665</v>
      </c>
      <c r="L21" s="33">
        <v>37</v>
      </c>
      <c r="M21" s="58">
        <v>45767</v>
      </c>
      <c r="N21" s="12">
        <v>20</v>
      </c>
      <c r="O21" s="12" t="s">
        <v>467</v>
      </c>
      <c r="P21" s="2">
        <v>70</v>
      </c>
      <c r="Q21" s="2">
        <v>87</v>
      </c>
      <c r="R21" s="2">
        <v>0</v>
      </c>
      <c r="S21" s="86">
        <v>22.06</v>
      </c>
      <c r="T21" s="165">
        <v>3.1731641292572021</v>
      </c>
      <c r="U21" s="156">
        <v>3.9437897205352783</v>
      </c>
      <c r="V21" s="95">
        <v>4.1251134872436523</v>
      </c>
      <c r="W21" s="159">
        <v>58.949989318847656</v>
      </c>
      <c r="X21" s="3">
        <v>2.7480921745300293</v>
      </c>
      <c r="Y21" s="33">
        <v>196.75</v>
      </c>
      <c r="Z21" s="58">
        <v>45804</v>
      </c>
      <c r="AA21" s="12">
        <v>20</v>
      </c>
      <c r="AB21" s="12" t="s">
        <v>396</v>
      </c>
      <c r="AC21" s="2">
        <v>143</v>
      </c>
      <c r="AD21" s="2">
        <v>174</v>
      </c>
      <c r="AE21" s="2">
        <v>0</v>
      </c>
      <c r="AF21" s="16">
        <v>57.69</v>
      </c>
      <c r="AG21" s="167">
        <v>2.4787659645080566</v>
      </c>
      <c r="AH21" s="165">
        <v>3.0161206722259521</v>
      </c>
      <c r="AI21" s="154">
        <v>3.2761311531066895</v>
      </c>
      <c r="AJ21" s="166">
        <v>63.089107513427734</v>
      </c>
      <c r="AK21" s="3">
        <v>6.8950095176696777</v>
      </c>
      <c r="AL21" s="33">
        <v>491</v>
      </c>
      <c r="AM21" s="58">
        <v>45763</v>
      </c>
    </row>
    <row r="22" spans="1:39" x14ac:dyDescent="0.3">
      <c r="A22" s="12">
        <v>21</v>
      </c>
      <c r="B22" s="12" t="s">
        <v>408</v>
      </c>
      <c r="C22" s="2">
        <v>15</v>
      </c>
      <c r="D22" s="2">
        <v>15</v>
      </c>
      <c r="E22" s="2">
        <v>0</v>
      </c>
      <c r="F22" s="80">
        <v>4.16</v>
      </c>
      <c r="G22" s="161">
        <v>3.6057693958282471</v>
      </c>
      <c r="H22" s="161">
        <v>3.6057693958282471</v>
      </c>
      <c r="I22" s="95">
        <v>4.0865387916564941</v>
      </c>
      <c r="J22" s="158">
        <v>47.855861663818359</v>
      </c>
      <c r="K22" s="3">
        <v>0.75225895643234253</v>
      </c>
      <c r="L22" s="33">
        <v>42.125</v>
      </c>
      <c r="M22" s="58">
        <v>45810</v>
      </c>
      <c r="N22" s="12">
        <v>21</v>
      </c>
      <c r="O22" s="12" t="s">
        <v>488</v>
      </c>
      <c r="P22" s="2">
        <v>62</v>
      </c>
      <c r="Q22" s="2">
        <v>75</v>
      </c>
      <c r="R22" s="2">
        <v>0</v>
      </c>
      <c r="S22" s="84">
        <v>20.59</v>
      </c>
      <c r="T22" s="165">
        <v>3.0111703872680664</v>
      </c>
      <c r="U22" s="161">
        <v>3.6425449848175049</v>
      </c>
      <c r="V22" s="95">
        <v>4.0796504020690918</v>
      </c>
      <c r="W22" s="159">
        <v>58.707138061523438</v>
      </c>
      <c r="X22" s="3">
        <v>2.7594599723815918</v>
      </c>
      <c r="Y22" s="33">
        <v>194.25</v>
      </c>
      <c r="Z22" s="58">
        <v>45801</v>
      </c>
      <c r="AA22" s="12">
        <v>21</v>
      </c>
      <c r="AB22" s="12" t="s">
        <v>424</v>
      </c>
      <c r="AC22" s="2">
        <v>174</v>
      </c>
      <c r="AD22" s="2">
        <v>215</v>
      </c>
      <c r="AE22" s="2">
        <v>0</v>
      </c>
      <c r="AF22" s="171">
        <v>64.89</v>
      </c>
      <c r="AG22" s="164">
        <v>2.6814608573913574</v>
      </c>
      <c r="AH22" s="154">
        <v>3.3132994174957275</v>
      </c>
      <c r="AI22" s="161">
        <v>3.5290491580963135</v>
      </c>
      <c r="AJ22" s="166">
        <v>62.854488372802734</v>
      </c>
      <c r="AK22" s="3">
        <v>6.9207468032836914</v>
      </c>
      <c r="AL22" s="33">
        <v>574.875</v>
      </c>
      <c r="AM22" s="58">
        <v>45809</v>
      </c>
    </row>
    <row r="23" spans="1:39" x14ac:dyDescent="0.3">
      <c r="A23" s="12">
        <v>22</v>
      </c>
      <c r="B23" s="12" t="s">
        <v>408</v>
      </c>
      <c r="C23" s="2">
        <v>11</v>
      </c>
      <c r="D23" s="2">
        <v>11</v>
      </c>
      <c r="E23" s="2">
        <v>0</v>
      </c>
      <c r="F23" s="79">
        <v>3.47</v>
      </c>
      <c r="G23" s="165">
        <v>3.1700286865234375</v>
      </c>
      <c r="H23" s="165">
        <v>3.1700286865234375</v>
      </c>
      <c r="I23" s="161">
        <v>3.7463977336883545</v>
      </c>
      <c r="J23" s="158">
        <v>47.767780303955078</v>
      </c>
      <c r="K23" s="3">
        <v>0.75364607572555542</v>
      </c>
      <c r="L23" s="33">
        <v>25.75</v>
      </c>
      <c r="M23" s="58">
        <v>45717</v>
      </c>
      <c r="N23" s="12">
        <v>22</v>
      </c>
      <c r="O23" s="12" t="s">
        <v>406</v>
      </c>
      <c r="P23" s="2">
        <v>69</v>
      </c>
      <c r="Q23" s="2">
        <v>80</v>
      </c>
      <c r="R23" s="2">
        <v>0</v>
      </c>
      <c r="S23" s="85">
        <v>21.97</v>
      </c>
      <c r="T23" s="165">
        <v>3.1406464576721191</v>
      </c>
      <c r="U23" s="161">
        <v>3.641329288482666</v>
      </c>
      <c r="V23" s="156">
        <v>3.9144289493560791</v>
      </c>
      <c r="W23" s="159">
        <v>58.513092041015625</v>
      </c>
      <c r="X23" s="3">
        <v>2.7686111927032471</v>
      </c>
      <c r="Y23" s="33">
        <v>209.625</v>
      </c>
      <c r="Z23" s="58">
        <v>45800</v>
      </c>
      <c r="AA23" s="12">
        <v>22</v>
      </c>
      <c r="AB23" s="12" t="s">
        <v>492</v>
      </c>
      <c r="AC23" s="2">
        <v>177</v>
      </c>
      <c r="AD23" s="2">
        <v>212</v>
      </c>
      <c r="AE23" s="2">
        <v>0</v>
      </c>
      <c r="AF23" s="84">
        <v>65.569999999999993</v>
      </c>
      <c r="AG23" s="164">
        <v>2.6994051933288574</v>
      </c>
      <c r="AH23" s="165">
        <v>3.2331860065460205</v>
      </c>
      <c r="AI23" s="154">
        <v>3.3399419784545898</v>
      </c>
      <c r="AJ23" s="166">
        <v>62.815052032470703</v>
      </c>
      <c r="AK23" s="3">
        <v>6.9250917434692383</v>
      </c>
      <c r="AL23" s="33">
        <v>575.0625</v>
      </c>
      <c r="AM23" s="58">
        <v>45767</v>
      </c>
    </row>
    <row r="24" spans="1:39" x14ac:dyDescent="0.3">
      <c r="A24" s="12">
        <v>23</v>
      </c>
      <c r="B24" s="12" t="s">
        <v>394</v>
      </c>
      <c r="C24" s="2">
        <v>10</v>
      </c>
      <c r="D24" s="2">
        <v>10</v>
      </c>
      <c r="E24" s="2">
        <v>0</v>
      </c>
      <c r="F24" s="79">
        <v>3.29</v>
      </c>
      <c r="G24" s="165">
        <v>3.0395138263702393</v>
      </c>
      <c r="H24" s="165">
        <v>3.0395138263702393</v>
      </c>
      <c r="I24" s="154">
        <v>3.3434650897979736</v>
      </c>
      <c r="J24" s="158">
        <v>47.541126251220703</v>
      </c>
      <c r="K24" s="3">
        <v>0.75723910331726074</v>
      </c>
      <c r="L24" s="33">
        <v>31.25</v>
      </c>
      <c r="M24" s="58">
        <v>45762</v>
      </c>
      <c r="N24" s="12">
        <v>23</v>
      </c>
      <c r="O24" s="12" t="s">
        <v>423</v>
      </c>
      <c r="P24" s="2">
        <v>50</v>
      </c>
      <c r="Q24" s="2">
        <v>58</v>
      </c>
      <c r="R24" s="2">
        <v>0</v>
      </c>
      <c r="S24" s="82">
        <v>18.2</v>
      </c>
      <c r="T24" s="164">
        <v>2.7472527027130127</v>
      </c>
      <c r="U24" s="165">
        <v>3.1868131160736084</v>
      </c>
      <c r="V24" s="154">
        <v>3.3516480922698975</v>
      </c>
      <c r="W24" s="159">
        <v>58.393383026123047</v>
      </c>
      <c r="X24" s="3">
        <v>2.7742869853973389</v>
      </c>
      <c r="Y24" s="33">
        <v>145.875</v>
      </c>
      <c r="Z24" s="58">
        <v>45763</v>
      </c>
      <c r="AA24" s="12">
        <v>23</v>
      </c>
      <c r="AB24" s="12" t="s">
        <v>500</v>
      </c>
      <c r="AC24" s="2">
        <v>168</v>
      </c>
      <c r="AD24" s="2">
        <v>210</v>
      </c>
      <c r="AE24" s="2">
        <v>0</v>
      </c>
      <c r="AF24" s="171">
        <v>63.59</v>
      </c>
      <c r="AG24" s="164">
        <v>2.6419248580932617</v>
      </c>
      <c r="AH24" s="154">
        <v>3.3024060726165771</v>
      </c>
      <c r="AI24" s="161">
        <v>3.6169209480285645</v>
      </c>
      <c r="AJ24" s="166">
        <v>62.811264038085938</v>
      </c>
      <c r="AK24" s="3">
        <v>6.9255094528198242</v>
      </c>
      <c r="AL24" s="33">
        <v>554.4375</v>
      </c>
      <c r="AM24" s="58">
        <v>45763</v>
      </c>
    </row>
    <row r="25" spans="1:39" x14ac:dyDescent="0.3">
      <c r="A25" s="12">
        <v>24</v>
      </c>
      <c r="B25" s="12" t="s">
        <v>496</v>
      </c>
      <c r="C25" s="2">
        <v>16</v>
      </c>
      <c r="D25" s="2">
        <v>16</v>
      </c>
      <c r="E25" s="2">
        <v>0</v>
      </c>
      <c r="F25" s="80">
        <v>4.34</v>
      </c>
      <c r="G25" s="161">
        <v>3.6866357326507568</v>
      </c>
      <c r="H25" s="161">
        <v>3.6866357326507568</v>
      </c>
      <c r="I25" s="156">
        <v>3.9170506000518799</v>
      </c>
      <c r="J25" s="158">
        <v>47.499595642089844</v>
      </c>
      <c r="K25" s="3">
        <v>0.75790119171142578</v>
      </c>
      <c r="L25" s="33">
        <v>33.6875</v>
      </c>
      <c r="M25" s="58">
        <v>45762</v>
      </c>
      <c r="N25" s="12">
        <v>24</v>
      </c>
      <c r="O25" s="12" t="s">
        <v>474</v>
      </c>
      <c r="P25" s="2">
        <v>71</v>
      </c>
      <c r="Q25" s="2">
        <v>81</v>
      </c>
      <c r="R25" s="2">
        <v>0</v>
      </c>
      <c r="S25" s="86">
        <v>22.38</v>
      </c>
      <c r="T25" s="165">
        <v>3.1724755764007568</v>
      </c>
      <c r="U25" s="161">
        <v>3.6193029880523682</v>
      </c>
      <c r="V25" s="156">
        <v>3.8873996734619141</v>
      </c>
      <c r="W25" s="159">
        <v>58.346023559570313</v>
      </c>
      <c r="X25" s="3">
        <v>2.7765388488769531</v>
      </c>
      <c r="Y25" s="33">
        <v>218.3125</v>
      </c>
      <c r="Z25" s="58">
        <v>45804</v>
      </c>
      <c r="AA25" s="12">
        <v>24</v>
      </c>
      <c r="AB25" s="12" t="s">
        <v>402</v>
      </c>
      <c r="AC25" s="2">
        <v>147</v>
      </c>
      <c r="AD25" s="2">
        <v>174</v>
      </c>
      <c r="AE25" s="2">
        <v>0</v>
      </c>
      <c r="AF25" s="16">
        <v>58.92</v>
      </c>
      <c r="AG25" s="167">
        <v>2.494908332824707</v>
      </c>
      <c r="AH25" s="160">
        <v>2.9531569480895996</v>
      </c>
      <c r="AI25" s="165">
        <v>3.1907672882080078</v>
      </c>
      <c r="AJ25" s="166">
        <v>62.569110870361328</v>
      </c>
      <c r="AK25" s="3">
        <v>6.9523124694824219</v>
      </c>
      <c r="AL25" s="33">
        <v>472.8125</v>
      </c>
      <c r="AM25" s="58">
        <v>45761</v>
      </c>
    </row>
    <row r="26" spans="1:39" x14ac:dyDescent="0.3">
      <c r="A26" s="12">
        <v>25</v>
      </c>
      <c r="B26" s="12" t="s">
        <v>493</v>
      </c>
      <c r="C26" s="2">
        <v>15</v>
      </c>
      <c r="D26" s="2">
        <v>18</v>
      </c>
      <c r="E26" s="2">
        <v>0</v>
      </c>
      <c r="F26" s="80">
        <v>4.2</v>
      </c>
      <c r="G26" s="161">
        <v>3.5714287757873535</v>
      </c>
      <c r="H26" s="162">
        <v>4.2857146263122559</v>
      </c>
      <c r="I26" s="155">
        <v>4.5238099098205566</v>
      </c>
      <c r="J26" s="158">
        <v>47.083637237548828</v>
      </c>
      <c r="K26" s="3">
        <v>0.76459681987762451</v>
      </c>
      <c r="L26" s="33">
        <v>35.75</v>
      </c>
      <c r="M26" s="58">
        <v>45807</v>
      </c>
      <c r="N26" s="12">
        <v>25</v>
      </c>
      <c r="O26" s="12" t="s">
        <v>476</v>
      </c>
      <c r="P26" s="2">
        <v>71</v>
      </c>
      <c r="Q26" s="2">
        <v>87</v>
      </c>
      <c r="R26" s="2">
        <v>0</v>
      </c>
      <c r="S26" s="86">
        <v>22.41</v>
      </c>
      <c r="T26" s="165">
        <v>3.1682283878326416</v>
      </c>
      <c r="U26" s="156">
        <v>3.8821954727172852</v>
      </c>
      <c r="V26" s="95">
        <v>4.1945562362670898</v>
      </c>
      <c r="W26" s="159">
        <v>58.213298797607422</v>
      </c>
      <c r="X26" s="3">
        <v>2.7828693389892578</v>
      </c>
      <c r="Y26" s="33">
        <v>237.3125</v>
      </c>
      <c r="Z26" s="58">
        <v>45800</v>
      </c>
      <c r="AA26" s="12">
        <v>25</v>
      </c>
      <c r="AB26" s="12" t="s">
        <v>501</v>
      </c>
      <c r="AC26" s="2">
        <v>175</v>
      </c>
      <c r="AD26" s="2">
        <v>208</v>
      </c>
      <c r="AE26" s="2">
        <v>0</v>
      </c>
      <c r="AF26" s="84">
        <v>65.34</v>
      </c>
      <c r="AG26" s="164">
        <v>2.6782982349395752</v>
      </c>
      <c r="AH26" s="165">
        <v>3.1833488941192627</v>
      </c>
      <c r="AI26" s="154">
        <v>3.3057854175567627</v>
      </c>
      <c r="AJ26" s="159">
        <v>62.477382659912109</v>
      </c>
      <c r="AK26" s="3">
        <v>6.962519645690918</v>
      </c>
      <c r="AL26" s="33">
        <v>573.4375</v>
      </c>
      <c r="AM26" s="58">
        <v>45804</v>
      </c>
    </row>
    <row r="27" spans="1:39" x14ac:dyDescent="0.3">
      <c r="A27" s="12">
        <v>26</v>
      </c>
      <c r="B27" s="12" t="s">
        <v>408</v>
      </c>
      <c r="C27" s="2">
        <v>18</v>
      </c>
      <c r="D27" s="2">
        <v>18</v>
      </c>
      <c r="E27" s="2">
        <v>0</v>
      </c>
      <c r="F27" s="15">
        <v>4.68</v>
      </c>
      <c r="G27" s="156">
        <v>3.8461539745330811</v>
      </c>
      <c r="H27" s="156">
        <v>3.8461539745330811</v>
      </c>
      <c r="I27" s="95">
        <v>4.0598292350769043</v>
      </c>
      <c r="J27" s="158">
        <v>47.00640869140625</v>
      </c>
      <c r="K27" s="3">
        <v>0.76585298776626587</v>
      </c>
      <c r="L27" s="33">
        <v>38.125</v>
      </c>
      <c r="M27" s="58">
        <v>45805</v>
      </c>
      <c r="N27" s="12">
        <v>26</v>
      </c>
      <c r="O27" s="12" t="s">
        <v>401</v>
      </c>
      <c r="P27" s="2">
        <v>42</v>
      </c>
      <c r="Q27" s="2">
        <v>54</v>
      </c>
      <c r="R27" s="2">
        <v>0</v>
      </c>
      <c r="S27" s="81">
        <v>16.5</v>
      </c>
      <c r="T27" s="164">
        <v>2.5454545021057129</v>
      </c>
      <c r="U27" s="154">
        <v>3.2727272510528564</v>
      </c>
      <c r="V27" s="161">
        <v>3.5151515007019043</v>
      </c>
      <c r="W27" s="159">
        <v>57.948417663574219</v>
      </c>
      <c r="X27" s="3">
        <v>2.7955896854400635</v>
      </c>
      <c r="Y27" s="33">
        <v>160.875</v>
      </c>
      <c r="Z27" s="58">
        <v>45804</v>
      </c>
      <c r="AA27" s="12">
        <v>26</v>
      </c>
      <c r="AB27" s="12" t="s">
        <v>477</v>
      </c>
      <c r="AC27" s="2">
        <v>192</v>
      </c>
      <c r="AD27" s="2">
        <v>234</v>
      </c>
      <c r="AE27" s="2">
        <v>0</v>
      </c>
      <c r="AF27" s="85">
        <v>69.11</v>
      </c>
      <c r="AG27" s="160">
        <v>2.7781796455383301</v>
      </c>
      <c r="AH27" s="154">
        <v>3.385906457901001</v>
      </c>
      <c r="AI27" s="161">
        <v>3.6174213886260986</v>
      </c>
      <c r="AJ27" s="159">
        <v>62.311897277832031</v>
      </c>
      <c r="AK27" s="3">
        <v>6.9810104370117188</v>
      </c>
      <c r="AL27" s="33">
        <v>584.8125</v>
      </c>
      <c r="AM27" s="58">
        <v>45806</v>
      </c>
    </row>
    <row r="28" spans="1:39" x14ac:dyDescent="0.3">
      <c r="A28" s="12">
        <v>27</v>
      </c>
      <c r="B28" s="12" t="s">
        <v>405</v>
      </c>
      <c r="C28" s="2">
        <v>16</v>
      </c>
      <c r="D28" s="2">
        <v>16</v>
      </c>
      <c r="E28" s="2">
        <v>0</v>
      </c>
      <c r="F28" s="80">
        <v>4.37</v>
      </c>
      <c r="G28" s="161">
        <v>3.6613273620605469</v>
      </c>
      <c r="H28" s="161">
        <v>3.6613273620605469</v>
      </c>
      <c r="I28" s="156">
        <v>3.8901603221893311</v>
      </c>
      <c r="J28" s="158">
        <v>46.946590423583984</v>
      </c>
      <c r="K28" s="3">
        <v>0.76682883501052856</v>
      </c>
      <c r="L28" s="33">
        <v>35.375</v>
      </c>
      <c r="M28" s="58">
        <v>45762</v>
      </c>
      <c r="N28" s="12">
        <v>27</v>
      </c>
      <c r="O28" s="12" t="s">
        <v>417</v>
      </c>
      <c r="P28" s="2">
        <v>48</v>
      </c>
      <c r="Q28" s="2">
        <v>54</v>
      </c>
      <c r="R28" s="2">
        <v>0</v>
      </c>
      <c r="S28" s="16">
        <v>17.88</v>
      </c>
      <c r="T28" s="164">
        <v>2.6845638751983643</v>
      </c>
      <c r="U28" s="165">
        <v>3.020134449005127</v>
      </c>
      <c r="V28" s="154">
        <v>3.299776554107666</v>
      </c>
      <c r="W28" s="159">
        <v>57.773876190185547</v>
      </c>
      <c r="X28" s="3">
        <v>2.8040354251861572</v>
      </c>
      <c r="Y28" s="33">
        <v>163.3125</v>
      </c>
      <c r="Z28" s="58">
        <v>45711</v>
      </c>
      <c r="AA28" s="12">
        <v>27</v>
      </c>
      <c r="AB28" s="12" t="s">
        <v>445</v>
      </c>
      <c r="AC28" s="2">
        <v>161</v>
      </c>
      <c r="AD28" s="2">
        <v>195</v>
      </c>
      <c r="AE28" s="2">
        <v>0</v>
      </c>
      <c r="AF28" s="82">
        <v>62.35</v>
      </c>
      <c r="AG28" s="164">
        <v>2.5821974277496338</v>
      </c>
      <c r="AH28" s="165">
        <v>3.1275060176849365</v>
      </c>
      <c r="AI28" s="154">
        <v>3.2878909111022949</v>
      </c>
      <c r="AJ28" s="159">
        <v>62.243377685546875</v>
      </c>
      <c r="AK28" s="3">
        <v>6.9886951446533203</v>
      </c>
      <c r="AL28" s="33">
        <v>525.125</v>
      </c>
      <c r="AM28" s="58">
        <v>45766</v>
      </c>
    </row>
    <row r="29" spans="1:39" x14ac:dyDescent="0.3">
      <c r="A29" s="12">
        <v>28</v>
      </c>
      <c r="B29" s="12" t="s">
        <v>397</v>
      </c>
      <c r="C29" s="2">
        <v>11</v>
      </c>
      <c r="D29" s="2">
        <v>11</v>
      </c>
      <c r="E29" s="2">
        <v>0</v>
      </c>
      <c r="F29" s="14">
        <v>3.53</v>
      </c>
      <c r="G29" s="165">
        <v>3.1161472797393799</v>
      </c>
      <c r="H29" s="165">
        <v>3.1161472797393799</v>
      </c>
      <c r="I29" s="156">
        <v>3.966005802154541</v>
      </c>
      <c r="J29" s="158">
        <v>46.395748138427734</v>
      </c>
      <c r="K29" s="3">
        <v>0.77593314647674561</v>
      </c>
      <c r="L29" s="33">
        <v>33.5625</v>
      </c>
      <c r="M29" s="58">
        <v>45765</v>
      </c>
      <c r="N29" s="12">
        <v>28</v>
      </c>
      <c r="O29" s="12" t="s">
        <v>471</v>
      </c>
      <c r="P29" s="2">
        <v>75</v>
      </c>
      <c r="Q29" s="2">
        <v>88</v>
      </c>
      <c r="R29" s="2">
        <v>0</v>
      </c>
      <c r="S29" s="86">
        <v>23.26</v>
      </c>
      <c r="T29" s="165">
        <v>3.2244195938110352</v>
      </c>
      <c r="U29" s="156">
        <v>3.7833189964294434</v>
      </c>
      <c r="V29" s="95">
        <v>4.2132415771484375</v>
      </c>
      <c r="W29" s="159">
        <v>57.721786499023438</v>
      </c>
      <c r="X29" s="3">
        <v>2.8065659999847412</v>
      </c>
      <c r="Y29" s="33">
        <v>221.25</v>
      </c>
      <c r="Z29" s="58">
        <v>45793</v>
      </c>
      <c r="AA29" s="12">
        <v>28</v>
      </c>
      <c r="AB29" s="12" t="s">
        <v>437</v>
      </c>
      <c r="AC29" s="2">
        <v>159</v>
      </c>
      <c r="AD29" s="2">
        <v>204</v>
      </c>
      <c r="AE29" s="2">
        <v>0</v>
      </c>
      <c r="AF29" s="82">
        <v>61.91</v>
      </c>
      <c r="AG29" s="164">
        <v>2.5682442188262939</v>
      </c>
      <c r="AH29" s="154">
        <v>3.2951056957244873</v>
      </c>
      <c r="AI29" s="161">
        <v>3.6020028591156006</v>
      </c>
      <c r="AJ29" s="159">
        <v>62.214698791503906</v>
      </c>
      <c r="AK29" s="3">
        <v>6.9919166564941406</v>
      </c>
      <c r="AL29" s="33">
        <v>508.3125</v>
      </c>
      <c r="AM29" s="58">
        <v>45807</v>
      </c>
    </row>
    <row r="30" spans="1:39" x14ac:dyDescent="0.3">
      <c r="A30" s="12">
        <v>29</v>
      </c>
      <c r="B30" s="12" t="s">
        <v>405</v>
      </c>
      <c r="C30" s="2">
        <v>17</v>
      </c>
      <c r="D30" s="2">
        <v>17</v>
      </c>
      <c r="E30" s="2">
        <v>0</v>
      </c>
      <c r="F30" s="15">
        <v>4.58</v>
      </c>
      <c r="G30" s="161">
        <v>3.7117905616760254</v>
      </c>
      <c r="H30" s="161">
        <v>3.7117905616760254</v>
      </c>
      <c r="I30" s="156">
        <v>3.9301309585571289</v>
      </c>
      <c r="J30" s="158">
        <v>46.055355072021484</v>
      </c>
      <c r="K30" s="3">
        <v>0.78166806697845459</v>
      </c>
      <c r="L30" s="33">
        <v>44.1875</v>
      </c>
      <c r="M30" s="58">
        <v>45810</v>
      </c>
      <c r="N30" s="12">
        <v>29</v>
      </c>
      <c r="O30" s="12" t="s">
        <v>422</v>
      </c>
      <c r="P30" s="2">
        <v>57</v>
      </c>
      <c r="Q30" s="2">
        <v>63</v>
      </c>
      <c r="R30" s="2">
        <v>0</v>
      </c>
      <c r="S30" s="171">
        <v>19.850000000000001</v>
      </c>
      <c r="T30" s="160">
        <v>2.8715364933013916</v>
      </c>
      <c r="U30" s="165">
        <v>3.1738035678863525</v>
      </c>
      <c r="V30" s="154">
        <v>3.4760704040527344</v>
      </c>
      <c r="W30" s="159">
        <v>57.437694549560547</v>
      </c>
      <c r="X30" s="3">
        <v>2.8204474449157715</v>
      </c>
      <c r="Y30" s="33">
        <v>172.1875</v>
      </c>
      <c r="Z30" s="58">
        <v>45763</v>
      </c>
      <c r="AA30" s="12">
        <v>29</v>
      </c>
      <c r="AB30" s="12" t="s">
        <v>473</v>
      </c>
      <c r="AC30" s="2">
        <v>194</v>
      </c>
      <c r="AD30" s="2">
        <v>232</v>
      </c>
      <c r="AE30" s="2">
        <v>0</v>
      </c>
      <c r="AF30" s="85">
        <v>69.680000000000007</v>
      </c>
      <c r="AG30" s="160">
        <v>2.7841560840606689</v>
      </c>
      <c r="AH30" s="154">
        <v>3.3295063972473145</v>
      </c>
      <c r="AI30" s="161">
        <v>3.6021814346313477</v>
      </c>
      <c r="AJ30" s="159">
        <v>62.087924957275391</v>
      </c>
      <c r="AK30" s="3">
        <v>7.0061931610107422</v>
      </c>
      <c r="AL30" s="33">
        <v>604.4375</v>
      </c>
      <c r="AM30" s="58">
        <v>45807</v>
      </c>
    </row>
    <row r="31" spans="1:39" x14ac:dyDescent="0.3">
      <c r="A31" s="12">
        <v>30</v>
      </c>
      <c r="B31" s="12" t="s">
        <v>391</v>
      </c>
      <c r="C31" s="2">
        <v>17</v>
      </c>
      <c r="D31" s="2">
        <v>20</v>
      </c>
      <c r="E31" s="2">
        <v>0</v>
      </c>
      <c r="F31" s="15">
        <v>4.58</v>
      </c>
      <c r="G31" s="161">
        <v>3.7117905616760254</v>
      </c>
      <c r="H31" s="162">
        <v>4.3668122291564941</v>
      </c>
      <c r="I31" s="155">
        <v>4.5851531028747559</v>
      </c>
      <c r="J31" s="158">
        <v>46.055355072021484</v>
      </c>
      <c r="K31" s="3">
        <v>0.78166806697845459</v>
      </c>
      <c r="L31" s="33">
        <v>38.875</v>
      </c>
      <c r="M31" s="58">
        <v>45756</v>
      </c>
      <c r="N31" s="12">
        <v>30</v>
      </c>
      <c r="O31" s="12" t="s">
        <v>502</v>
      </c>
      <c r="P31" s="2">
        <v>60</v>
      </c>
      <c r="Q31" s="2">
        <v>76</v>
      </c>
      <c r="R31" s="2">
        <v>0</v>
      </c>
      <c r="S31" s="84">
        <v>20.47</v>
      </c>
      <c r="T31" s="160">
        <v>2.9311187267303467</v>
      </c>
      <c r="U31" s="161">
        <v>3.7127504348754883</v>
      </c>
      <c r="V31" s="156">
        <v>3.9081583023071289</v>
      </c>
      <c r="W31" s="159">
        <v>57.380714416503906</v>
      </c>
      <c r="X31" s="3">
        <v>2.8232481479644775</v>
      </c>
      <c r="Y31" s="33">
        <v>167.625</v>
      </c>
      <c r="Z31" s="58">
        <v>45763</v>
      </c>
      <c r="AA31" s="12">
        <v>30</v>
      </c>
      <c r="AB31" s="12" t="s">
        <v>503</v>
      </c>
      <c r="AC31" s="2">
        <v>168</v>
      </c>
      <c r="AD31" s="2">
        <v>213</v>
      </c>
      <c r="AE31" s="2">
        <v>0</v>
      </c>
      <c r="AF31" s="171">
        <v>64.05</v>
      </c>
      <c r="AG31" s="164">
        <v>2.6229507923126221</v>
      </c>
      <c r="AH31" s="154">
        <v>3.3255267143249512</v>
      </c>
      <c r="AI31" s="161">
        <v>3.5597188472747803</v>
      </c>
      <c r="AJ31" s="159">
        <v>62.046314239501953</v>
      </c>
      <c r="AK31" s="3">
        <v>7.0108919143676758</v>
      </c>
      <c r="AL31" s="33">
        <v>548.375</v>
      </c>
      <c r="AM31" s="58">
        <v>45805</v>
      </c>
    </row>
    <row r="32" spans="1:39" x14ac:dyDescent="0.3">
      <c r="A32" s="12">
        <v>31</v>
      </c>
      <c r="B32" s="12" t="s">
        <v>397</v>
      </c>
      <c r="C32" s="2">
        <v>17</v>
      </c>
      <c r="D32" s="2">
        <v>17</v>
      </c>
      <c r="E32" s="2">
        <v>0</v>
      </c>
      <c r="F32" s="15">
        <v>4.58</v>
      </c>
      <c r="G32" s="161">
        <v>3.7117905616760254</v>
      </c>
      <c r="H32" s="161">
        <v>3.7117905616760254</v>
      </c>
      <c r="I32" s="95">
        <v>4.1484718322753906</v>
      </c>
      <c r="J32" s="158">
        <v>46.055355072021484</v>
      </c>
      <c r="K32" s="3">
        <v>0.78166806697845459</v>
      </c>
      <c r="L32" s="33">
        <v>37.375</v>
      </c>
      <c r="M32" s="58">
        <v>45720</v>
      </c>
      <c r="N32" s="12">
        <v>31</v>
      </c>
      <c r="O32" s="12" t="s">
        <v>422</v>
      </c>
      <c r="P32" s="2">
        <v>49</v>
      </c>
      <c r="Q32" s="2">
        <v>59</v>
      </c>
      <c r="R32" s="2">
        <v>0</v>
      </c>
      <c r="S32" s="82">
        <v>18.2</v>
      </c>
      <c r="T32" s="164">
        <v>2.6923074722290039</v>
      </c>
      <c r="U32" s="165">
        <v>3.2417581081390381</v>
      </c>
      <c r="V32" s="161">
        <v>3.5714285373687744</v>
      </c>
      <c r="W32" s="159">
        <v>57.225513458251953</v>
      </c>
      <c r="X32" s="3">
        <v>2.8309051990509033</v>
      </c>
      <c r="Y32" s="33">
        <v>174.5625</v>
      </c>
      <c r="Z32" s="58">
        <v>45764</v>
      </c>
      <c r="AA32" s="12">
        <v>31</v>
      </c>
      <c r="AB32" s="12" t="s">
        <v>451</v>
      </c>
      <c r="AC32" s="2">
        <v>166</v>
      </c>
      <c r="AD32" s="2">
        <v>198</v>
      </c>
      <c r="AE32" s="2">
        <v>0</v>
      </c>
      <c r="AF32" s="171">
        <v>63.62</v>
      </c>
      <c r="AG32" s="164">
        <v>2.6092424392700195</v>
      </c>
      <c r="AH32" s="165">
        <v>3.1122288703918457</v>
      </c>
      <c r="AI32" s="165">
        <v>3.2379755973815918</v>
      </c>
      <c r="AJ32" s="159">
        <v>62.013771057128906</v>
      </c>
      <c r="AK32" s="3">
        <v>7.0145711898803711</v>
      </c>
      <c r="AL32" s="33">
        <v>533.75</v>
      </c>
      <c r="AM32" s="58">
        <v>45807</v>
      </c>
    </row>
    <row r="33" spans="1:39" x14ac:dyDescent="0.3">
      <c r="A33" s="12">
        <v>32</v>
      </c>
      <c r="B33" s="12" t="s">
        <v>391</v>
      </c>
      <c r="C33" s="2">
        <v>15</v>
      </c>
      <c r="D33" s="2">
        <v>18</v>
      </c>
      <c r="E33" s="2">
        <v>0</v>
      </c>
      <c r="F33" s="80">
        <v>4.28</v>
      </c>
      <c r="G33" s="161">
        <v>3.5046727657318115</v>
      </c>
      <c r="H33" s="95">
        <v>4.2056074142456055</v>
      </c>
      <c r="I33" s="155">
        <v>4.6728968620300293</v>
      </c>
      <c r="J33" s="158">
        <v>45.597320556640625</v>
      </c>
      <c r="K33" s="3">
        <v>0.78952008485794067</v>
      </c>
      <c r="L33" s="33">
        <v>30.8125</v>
      </c>
      <c r="M33" s="58">
        <v>45704</v>
      </c>
      <c r="N33" s="12">
        <v>32</v>
      </c>
      <c r="O33" s="12" t="s">
        <v>403</v>
      </c>
      <c r="P33" s="2">
        <v>68</v>
      </c>
      <c r="Q33" s="2">
        <v>83</v>
      </c>
      <c r="R33" s="2">
        <v>0</v>
      </c>
      <c r="S33" s="86">
        <v>22.07</v>
      </c>
      <c r="T33" s="165">
        <v>3.0811057090759277</v>
      </c>
      <c r="U33" s="156">
        <v>3.7607612609863281</v>
      </c>
      <c r="V33" s="156">
        <v>3.9873130321502686</v>
      </c>
      <c r="W33" s="159">
        <v>57.221595764160156</v>
      </c>
      <c r="X33" s="3">
        <v>2.8310990333557129</v>
      </c>
      <c r="Y33" s="33">
        <v>201.8125</v>
      </c>
      <c r="Z33" s="58">
        <v>45804</v>
      </c>
      <c r="AA33" s="12">
        <v>32</v>
      </c>
      <c r="AB33" s="12" t="s">
        <v>468</v>
      </c>
      <c r="AC33" s="2">
        <v>183</v>
      </c>
      <c r="AD33" s="2">
        <v>213</v>
      </c>
      <c r="AE33" s="2">
        <v>0</v>
      </c>
      <c r="AF33" s="84">
        <v>67.430000000000007</v>
      </c>
      <c r="AG33" s="164">
        <v>2.7139256000518799</v>
      </c>
      <c r="AH33" s="165">
        <v>3.1588313579559326</v>
      </c>
      <c r="AI33" s="154">
        <v>3.3516237735748291</v>
      </c>
      <c r="AJ33" s="159">
        <v>61.928417205810547</v>
      </c>
      <c r="AK33" s="3">
        <v>7.0242390632629395</v>
      </c>
      <c r="AL33" s="33">
        <v>595.3125</v>
      </c>
      <c r="AM33" s="58">
        <v>45809</v>
      </c>
    </row>
    <row r="34" spans="1:39" x14ac:dyDescent="0.3">
      <c r="A34" s="12">
        <v>33</v>
      </c>
      <c r="B34" s="12" t="s">
        <v>391</v>
      </c>
      <c r="C34" s="2">
        <v>12</v>
      </c>
      <c r="D34" s="2">
        <v>13</v>
      </c>
      <c r="E34" s="2">
        <v>0</v>
      </c>
      <c r="F34" s="14">
        <v>3.76</v>
      </c>
      <c r="G34" s="165">
        <v>3.1914894580841064</v>
      </c>
      <c r="H34" s="154">
        <v>3.457446813583374</v>
      </c>
      <c r="I34" s="156">
        <v>3.9893617630004883</v>
      </c>
      <c r="J34" s="158">
        <v>45.463661193847656</v>
      </c>
      <c r="K34" s="3">
        <v>0.79184120893478394</v>
      </c>
      <c r="L34" s="33">
        <v>32.3125</v>
      </c>
      <c r="M34" s="58">
        <v>45766</v>
      </c>
      <c r="N34" s="12">
        <v>33</v>
      </c>
      <c r="O34" s="12" t="s">
        <v>504</v>
      </c>
      <c r="P34" s="2">
        <v>62</v>
      </c>
      <c r="Q34" s="2">
        <v>72</v>
      </c>
      <c r="R34" s="2">
        <v>0</v>
      </c>
      <c r="S34" s="84">
        <v>20.92</v>
      </c>
      <c r="T34" s="160">
        <v>2.9636712074279785</v>
      </c>
      <c r="U34" s="154">
        <v>3.4416825771331787</v>
      </c>
      <c r="V34" s="161">
        <v>3.5850861072540283</v>
      </c>
      <c r="W34" s="159">
        <v>57.141525268554688</v>
      </c>
      <c r="X34" s="3">
        <v>2.8350660800933838</v>
      </c>
      <c r="Y34" s="33">
        <v>179.4375</v>
      </c>
      <c r="Z34" s="58">
        <v>45766</v>
      </c>
      <c r="AA34" s="12">
        <v>33</v>
      </c>
      <c r="AB34" s="12" t="s">
        <v>505</v>
      </c>
      <c r="AC34" s="2">
        <v>177</v>
      </c>
      <c r="AD34" s="2">
        <v>202</v>
      </c>
      <c r="AE34" s="2">
        <v>0</v>
      </c>
      <c r="AF34" s="84">
        <v>66.17</v>
      </c>
      <c r="AG34" s="164">
        <v>2.6749281883239746</v>
      </c>
      <c r="AH34" s="165">
        <v>3.0527429580688477</v>
      </c>
      <c r="AI34" s="165">
        <v>3.2038688659667969</v>
      </c>
      <c r="AJ34" s="159">
        <v>61.849845886230469</v>
      </c>
      <c r="AK34" s="3">
        <v>7.0331621170043945</v>
      </c>
      <c r="AL34" s="33">
        <v>554.75</v>
      </c>
      <c r="AM34" s="58">
        <v>45781</v>
      </c>
    </row>
    <row r="35" spans="1:39" x14ac:dyDescent="0.3">
      <c r="A35" s="12">
        <v>34</v>
      </c>
      <c r="B35" s="12" t="s">
        <v>419</v>
      </c>
      <c r="C35" s="2">
        <v>12</v>
      </c>
      <c r="D35" s="2">
        <v>13</v>
      </c>
      <c r="E35" s="2">
        <v>0</v>
      </c>
      <c r="F35" s="12">
        <v>3.76</v>
      </c>
      <c r="G35" s="3">
        <v>3.1914894580841064</v>
      </c>
      <c r="H35" s="3">
        <v>3.457446813583374</v>
      </c>
      <c r="I35" s="3">
        <v>3.7234041690826416</v>
      </c>
      <c r="J35" s="33">
        <v>45.463661193847656</v>
      </c>
      <c r="K35" s="3">
        <v>0.79184120893478394</v>
      </c>
      <c r="L35" s="33">
        <v>31.8125</v>
      </c>
      <c r="M35" s="58">
        <v>45763</v>
      </c>
      <c r="N35" s="12">
        <v>34</v>
      </c>
      <c r="O35" s="12" t="s">
        <v>459</v>
      </c>
      <c r="P35" s="2">
        <v>100</v>
      </c>
      <c r="Q35" s="2">
        <v>111</v>
      </c>
      <c r="R35" s="2">
        <v>0</v>
      </c>
      <c r="S35" s="12">
        <v>27.72</v>
      </c>
      <c r="T35" s="3">
        <v>3.6075036525726318</v>
      </c>
      <c r="U35" s="3">
        <v>4.0043292045593262</v>
      </c>
      <c r="V35" s="3">
        <v>4.2568545341491699</v>
      </c>
      <c r="W35" s="33">
        <v>57.117153167724609</v>
      </c>
      <c r="X35" s="3">
        <v>2.8362758159637451</v>
      </c>
      <c r="Y35" s="33">
        <v>255.8125</v>
      </c>
      <c r="Z35" s="58">
        <v>45793</v>
      </c>
      <c r="AA35" s="12">
        <v>34</v>
      </c>
      <c r="AB35" s="12" t="s">
        <v>452</v>
      </c>
      <c r="AC35" s="2">
        <v>168</v>
      </c>
      <c r="AD35" s="2">
        <v>193</v>
      </c>
      <c r="AE35" s="2">
        <v>0</v>
      </c>
      <c r="AF35" s="12">
        <v>64.17</v>
      </c>
      <c r="AG35" s="3">
        <v>2.6180458068847656</v>
      </c>
      <c r="AH35" s="3">
        <v>3.0076360702514648</v>
      </c>
      <c r="AI35" s="3">
        <v>3.2258064746856689</v>
      </c>
      <c r="AJ35" s="33">
        <v>61.849201202392578</v>
      </c>
      <c r="AK35" s="3">
        <v>7.0332355499267578</v>
      </c>
      <c r="AL35" s="33">
        <v>588.3125</v>
      </c>
      <c r="AM35" s="58">
        <v>45809</v>
      </c>
    </row>
    <row r="36" spans="1:39" x14ac:dyDescent="0.3">
      <c r="A36" s="12">
        <v>35</v>
      </c>
      <c r="B36" s="12" t="s">
        <v>391</v>
      </c>
      <c r="C36" s="2">
        <v>11</v>
      </c>
      <c r="D36" s="2">
        <v>14</v>
      </c>
      <c r="E36" s="2">
        <v>0</v>
      </c>
      <c r="F36" s="12">
        <v>3.58</v>
      </c>
      <c r="G36" s="3">
        <v>3.0726258754730225</v>
      </c>
      <c r="H36" s="3">
        <v>3.9106144905090332</v>
      </c>
      <c r="I36" s="3">
        <v>4.4692740440368652</v>
      </c>
      <c r="J36" s="33">
        <v>45.299568176269531</v>
      </c>
      <c r="K36" s="3">
        <v>0.79470956325531006</v>
      </c>
      <c r="L36" s="33">
        <v>34.375</v>
      </c>
      <c r="M36" s="58">
        <v>45765</v>
      </c>
      <c r="N36" s="12">
        <v>35</v>
      </c>
      <c r="O36" s="12" t="s">
        <v>413</v>
      </c>
      <c r="P36" s="2">
        <v>46</v>
      </c>
      <c r="Q36" s="2">
        <v>58</v>
      </c>
      <c r="R36" s="2">
        <v>0</v>
      </c>
      <c r="S36" s="12">
        <v>17.600000000000001</v>
      </c>
      <c r="T36" s="3">
        <v>2.6136362552642822</v>
      </c>
      <c r="U36" s="3">
        <v>3.2954545021057129</v>
      </c>
      <c r="V36" s="3">
        <v>3.6931817531585693</v>
      </c>
      <c r="W36" s="33">
        <v>56.872367858886719</v>
      </c>
      <c r="X36" s="3">
        <v>2.8484835624694824</v>
      </c>
      <c r="Y36" s="33">
        <v>154</v>
      </c>
      <c r="Z36" s="58">
        <v>45711</v>
      </c>
      <c r="AA36" s="12">
        <v>35</v>
      </c>
      <c r="AB36" s="12" t="s">
        <v>396</v>
      </c>
      <c r="AC36" s="2">
        <v>160</v>
      </c>
      <c r="AD36" s="2">
        <v>194</v>
      </c>
      <c r="AE36" s="2">
        <v>0</v>
      </c>
      <c r="AF36" s="12">
        <v>62.43</v>
      </c>
      <c r="AG36" s="3">
        <v>2.5628705024719238</v>
      </c>
      <c r="AH36" s="3">
        <v>3.1074802875518799</v>
      </c>
      <c r="AI36" s="3">
        <v>3.2996957302093506</v>
      </c>
      <c r="AJ36" s="33">
        <v>61.722080230712891</v>
      </c>
      <c r="AK36" s="3">
        <v>7.0477209091186523</v>
      </c>
      <c r="AL36" s="33">
        <v>523.0625</v>
      </c>
      <c r="AM36" s="58">
        <v>45768</v>
      </c>
    </row>
    <row r="37" spans="1:39" x14ac:dyDescent="0.3">
      <c r="A37" s="12">
        <v>36</v>
      </c>
      <c r="B37" s="12" t="s">
        <v>408</v>
      </c>
      <c r="C37" s="2">
        <v>20</v>
      </c>
      <c r="D37" s="2">
        <v>20</v>
      </c>
      <c r="E37" s="2">
        <v>0</v>
      </c>
      <c r="F37" s="12">
        <v>5.09</v>
      </c>
      <c r="G37" s="3">
        <v>3.9292728900909424</v>
      </c>
      <c r="H37" s="3">
        <v>3.9292728900909424</v>
      </c>
      <c r="I37" s="3">
        <v>4.1257367134094238</v>
      </c>
      <c r="J37" s="33">
        <v>45.280609130859375</v>
      </c>
      <c r="K37" s="3">
        <v>0.79504233598709106</v>
      </c>
      <c r="L37" s="33">
        <v>37.4375</v>
      </c>
      <c r="M37" s="58">
        <v>45706</v>
      </c>
      <c r="N37" s="12">
        <v>36</v>
      </c>
      <c r="O37" s="12" t="s">
        <v>454</v>
      </c>
      <c r="P37" s="2">
        <v>78</v>
      </c>
      <c r="Q37" s="2">
        <v>93</v>
      </c>
      <c r="R37" s="2">
        <v>0</v>
      </c>
      <c r="S37" s="12">
        <v>24.13</v>
      </c>
      <c r="T37" s="3">
        <v>3.2324907779693604</v>
      </c>
      <c r="U37" s="3">
        <v>3.854123592376709</v>
      </c>
      <c r="V37" s="3">
        <v>4.0198922157287598</v>
      </c>
      <c r="W37" s="33">
        <v>56.397804260253906</v>
      </c>
      <c r="X37" s="3">
        <v>2.8724522590637207</v>
      </c>
      <c r="Y37" s="33">
        <v>204.875</v>
      </c>
      <c r="Z37" s="58">
        <v>45763</v>
      </c>
      <c r="AA37" s="12">
        <v>36</v>
      </c>
      <c r="AB37" s="12" t="s">
        <v>492</v>
      </c>
      <c r="AC37" s="2">
        <v>174</v>
      </c>
      <c r="AD37" s="2">
        <v>207</v>
      </c>
      <c r="AE37" s="2">
        <v>0</v>
      </c>
      <c r="AF37" s="12">
        <v>65.67</v>
      </c>
      <c r="AG37" s="3">
        <v>2.6496117115020752</v>
      </c>
      <c r="AH37" s="3">
        <v>3.1521244049072266</v>
      </c>
      <c r="AI37" s="3">
        <v>3.3500838279724121</v>
      </c>
      <c r="AJ37" s="33">
        <v>61.590625762939453</v>
      </c>
      <c r="AK37" s="3">
        <v>7.0627632141113281</v>
      </c>
      <c r="AL37" s="33">
        <v>562.0625</v>
      </c>
      <c r="AM37" s="58">
        <v>45772</v>
      </c>
    </row>
    <row r="39" spans="1:39" x14ac:dyDescent="0.3">
      <c r="A39" s="12">
        <v>1</v>
      </c>
      <c r="B39" s="12" t="s">
        <v>397</v>
      </c>
      <c r="C39" s="2">
        <v>13</v>
      </c>
      <c r="D39" s="2">
        <v>13</v>
      </c>
      <c r="E39" s="2">
        <v>0</v>
      </c>
      <c r="F39" s="12">
        <v>3.33</v>
      </c>
      <c r="G39" s="3">
        <v>3.9039039611816406</v>
      </c>
      <c r="H39" s="3">
        <v>3.9039039611816406</v>
      </c>
      <c r="I39" s="3">
        <v>4.2042040824890137</v>
      </c>
      <c r="J39" s="33">
        <v>60.546730041503906</v>
      </c>
      <c r="K39" s="3">
        <v>0.59458208084106445</v>
      </c>
      <c r="L39" s="33">
        <v>34.4375</v>
      </c>
      <c r="M39" s="58">
        <v>45807</v>
      </c>
      <c r="N39" s="12">
        <v>1</v>
      </c>
      <c r="O39" s="12" t="s">
        <v>392</v>
      </c>
      <c r="P39" s="2">
        <v>42</v>
      </c>
      <c r="Q39" s="2">
        <v>50</v>
      </c>
      <c r="R39" s="2">
        <v>0</v>
      </c>
      <c r="S39" s="12">
        <v>14.89</v>
      </c>
      <c r="T39" s="3">
        <v>2.8206849098205566</v>
      </c>
      <c r="U39" s="3">
        <v>3.3579583168029785</v>
      </c>
      <c r="V39" s="3">
        <v>3.492276668548584</v>
      </c>
      <c r="W39" s="33">
        <v>68.999076843261719</v>
      </c>
      <c r="X39" s="3">
        <v>2.3478574752807617</v>
      </c>
      <c r="Y39" s="33">
        <v>161</v>
      </c>
      <c r="Z39" s="58">
        <v>45801</v>
      </c>
      <c r="AA39" s="12">
        <v>1</v>
      </c>
      <c r="AB39" s="12" t="s">
        <v>410</v>
      </c>
      <c r="AC39" s="2">
        <v>171</v>
      </c>
      <c r="AD39" s="2">
        <v>193</v>
      </c>
      <c r="AE39" s="2">
        <v>0</v>
      </c>
      <c r="AF39" s="12">
        <v>59.24</v>
      </c>
      <c r="AG39" s="3">
        <v>2.8865630626678467</v>
      </c>
      <c r="AH39" s="3">
        <v>3.2579338550567627</v>
      </c>
      <c r="AI39" s="3">
        <v>3.4098579883575439</v>
      </c>
      <c r="AJ39" s="33">
        <v>72.117347717285156</v>
      </c>
      <c r="AK39" s="3">
        <v>6.0318355560302734</v>
      </c>
      <c r="AL39" s="33">
        <v>491.125</v>
      </c>
      <c r="AM39" s="58">
        <v>45801</v>
      </c>
    </row>
    <row r="40" spans="1:39" x14ac:dyDescent="0.3">
      <c r="A40" s="12">
        <v>2</v>
      </c>
      <c r="B40" s="12" t="s">
        <v>408</v>
      </c>
      <c r="C40" s="2">
        <v>13</v>
      </c>
      <c r="D40" s="2">
        <v>13</v>
      </c>
      <c r="E40" s="2">
        <v>0</v>
      </c>
      <c r="F40" s="12">
        <v>3.34</v>
      </c>
      <c r="G40" s="3">
        <v>3.8922157287597656</v>
      </c>
      <c r="H40" s="3">
        <v>3.8922157287597656</v>
      </c>
      <c r="I40" s="3">
        <v>4.1916170120239258</v>
      </c>
      <c r="J40" s="33">
        <v>60.238880157470703</v>
      </c>
      <c r="K40" s="3">
        <v>0.59762066602706909</v>
      </c>
      <c r="L40" s="33">
        <v>34</v>
      </c>
      <c r="M40" s="58">
        <v>45810</v>
      </c>
      <c r="N40" s="12">
        <v>2</v>
      </c>
      <c r="O40" s="12" t="s">
        <v>830</v>
      </c>
      <c r="P40" s="2">
        <v>60</v>
      </c>
      <c r="Q40" s="2">
        <v>71</v>
      </c>
      <c r="R40" s="2">
        <v>0</v>
      </c>
      <c r="S40" s="12">
        <v>18.440000000000001</v>
      </c>
      <c r="T40" s="3">
        <v>3.2537961006164551</v>
      </c>
      <c r="U40" s="3">
        <v>3.850325345993042</v>
      </c>
      <c r="V40" s="3">
        <v>4.2299346923828125</v>
      </c>
      <c r="W40" s="33">
        <v>68.528732299804688</v>
      </c>
      <c r="X40" s="3">
        <v>2.3639719486236572</v>
      </c>
      <c r="Y40" s="33">
        <v>174.25</v>
      </c>
      <c r="Z40" s="58">
        <v>45810</v>
      </c>
      <c r="AA40" s="12">
        <v>2</v>
      </c>
      <c r="AB40" s="12" t="s">
        <v>393</v>
      </c>
      <c r="AC40" s="2">
        <v>148</v>
      </c>
      <c r="AD40" s="2">
        <v>177</v>
      </c>
      <c r="AE40" s="2">
        <v>0</v>
      </c>
      <c r="AF40" s="12">
        <v>54.74</v>
      </c>
      <c r="AG40" s="3">
        <v>2.7036900520324707</v>
      </c>
      <c r="AH40" s="3">
        <v>3.2334671020507813</v>
      </c>
      <c r="AI40" s="3">
        <v>3.4709534645080566</v>
      </c>
      <c r="AJ40" s="33">
        <v>71.389244079589844</v>
      </c>
      <c r="AK40" s="3">
        <v>6.0933547019958496</v>
      </c>
      <c r="AL40" s="33">
        <v>462.25</v>
      </c>
      <c r="AM40" s="58">
        <v>45801</v>
      </c>
    </row>
    <row r="41" spans="1:39" x14ac:dyDescent="0.3">
      <c r="A41" s="12">
        <v>3</v>
      </c>
      <c r="B41" s="12" t="s">
        <v>405</v>
      </c>
      <c r="C41" s="2">
        <v>11</v>
      </c>
      <c r="D41" s="2">
        <v>11</v>
      </c>
      <c r="E41" s="2">
        <v>0</v>
      </c>
      <c r="F41" s="12">
        <v>3.17</v>
      </c>
      <c r="G41" s="3">
        <v>3.4700314998626709</v>
      </c>
      <c r="H41" s="3">
        <v>3.4700314998626709</v>
      </c>
      <c r="I41" s="3">
        <v>3.7854888439178467</v>
      </c>
      <c r="J41" s="33">
        <v>55.705028533935547</v>
      </c>
      <c r="K41" s="3">
        <v>0.64626121520996094</v>
      </c>
      <c r="L41" s="33">
        <v>35.25</v>
      </c>
      <c r="M41" s="58">
        <v>45810</v>
      </c>
      <c r="N41" s="12">
        <v>3</v>
      </c>
      <c r="O41" s="12" t="s">
        <v>409</v>
      </c>
      <c r="P41" s="2">
        <v>53</v>
      </c>
      <c r="Q41" s="2">
        <v>57</v>
      </c>
      <c r="R41" s="2">
        <v>0</v>
      </c>
      <c r="S41" s="12">
        <v>17.190000000000001</v>
      </c>
      <c r="T41" s="3">
        <v>3.0831878185272217</v>
      </c>
      <c r="U41" s="3">
        <v>3.3158812522888184</v>
      </c>
      <c r="V41" s="3">
        <v>3.548574686050415</v>
      </c>
      <c r="W41" s="33">
        <v>68.205894470214844</v>
      </c>
      <c r="X41" s="3">
        <v>2.3751614093780518</v>
      </c>
      <c r="Y41" s="33">
        <v>161.75</v>
      </c>
      <c r="Z41" s="58">
        <v>45805</v>
      </c>
      <c r="AA41" s="12">
        <v>3</v>
      </c>
      <c r="AB41" s="12" t="s">
        <v>439</v>
      </c>
      <c r="AC41" s="2">
        <v>178</v>
      </c>
      <c r="AD41" s="2">
        <v>209</v>
      </c>
      <c r="AE41" s="2">
        <v>0</v>
      </c>
      <c r="AF41" s="12">
        <v>62.07</v>
      </c>
      <c r="AG41" s="3">
        <v>2.8677299022674561</v>
      </c>
      <c r="AH41" s="3">
        <v>3.3671660423278809</v>
      </c>
      <c r="AI41" s="3">
        <v>3.5766069889068604</v>
      </c>
      <c r="AJ41" s="33">
        <v>69.344223022460938</v>
      </c>
      <c r="AK41" s="3">
        <v>6.2730531692504883</v>
      </c>
      <c r="AL41" s="33">
        <v>541.1875</v>
      </c>
      <c r="AM41" s="58">
        <v>45779</v>
      </c>
    </row>
    <row r="42" spans="1:39" x14ac:dyDescent="0.3">
      <c r="A42" s="12">
        <v>4</v>
      </c>
      <c r="B42" s="12" t="s">
        <v>397</v>
      </c>
      <c r="C42" s="2">
        <v>14</v>
      </c>
      <c r="D42" s="2">
        <v>14</v>
      </c>
      <c r="E42" s="2">
        <v>0</v>
      </c>
      <c r="F42" s="12">
        <v>3.73</v>
      </c>
      <c r="G42" s="3">
        <v>3.7533512115478516</v>
      </c>
      <c r="H42" s="3">
        <v>3.7533512115478516</v>
      </c>
      <c r="I42" s="3">
        <v>4.2895441055297852</v>
      </c>
      <c r="J42" s="33">
        <v>53.768203735351563</v>
      </c>
      <c r="K42" s="3">
        <v>0.66954070329666138</v>
      </c>
      <c r="L42" s="33">
        <v>26.6875</v>
      </c>
      <c r="M42" s="58">
        <v>45717</v>
      </c>
      <c r="N42" s="12">
        <v>4</v>
      </c>
      <c r="O42" s="12" t="s">
        <v>415</v>
      </c>
      <c r="P42" s="2">
        <v>56</v>
      </c>
      <c r="Q42" s="2">
        <v>64</v>
      </c>
      <c r="R42" s="2">
        <v>0</v>
      </c>
      <c r="S42" s="12">
        <v>17.850000000000001</v>
      </c>
      <c r="T42" s="3">
        <v>3.1372549533843994</v>
      </c>
      <c r="U42" s="3">
        <v>3.5854341983795166</v>
      </c>
      <c r="V42" s="3">
        <v>3.8655462265014648</v>
      </c>
      <c r="W42" s="33">
        <v>67.595535278320313</v>
      </c>
      <c r="X42" s="3">
        <v>2.3966078758239746</v>
      </c>
      <c r="Y42" s="33">
        <v>161.75</v>
      </c>
      <c r="Z42" s="58">
        <v>45809</v>
      </c>
      <c r="AA42" s="12">
        <v>4</v>
      </c>
      <c r="AB42" s="12" t="s">
        <v>460</v>
      </c>
      <c r="AC42" s="2">
        <v>199</v>
      </c>
      <c r="AD42" s="2">
        <v>219</v>
      </c>
      <c r="AE42" s="2">
        <v>0</v>
      </c>
      <c r="AF42" s="12">
        <v>66.760000000000005</v>
      </c>
      <c r="AG42" s="3">
        <v>2.9808268547058105</v>
      </c>
      <c r="AH42" s="3">
        <v>3.2804074287414551</v>
      </c>
      <c r="AI42" s="3">
        <v>3.4451766014099121</v>
      </c>
      <c r="AJ42" s="33">
        <v>68.495895385742188</v>
      </c>
      <c r="AK42" s="3">
        <v>6.3507452011108398</v>
      </c>
      <c r="AL42" s="33">
        <v>600.8125</v>
      </c>
      <c r="AM42" s="58">
        <v>45779</v>
      </c>
    </row>
    <row r="43" spans="1:39" x14ac:dyDescent="0.3">
      <c r="A43" s="12">
        <v>5</v>
      </c>
      <c r="B43" s="12" t="s">
        <v>391</v>
      </c>
      <c r="C43" s="2">
        <v>11</v>
      </c>
      <c r="D43" s="2">
        <v>13</v>
      </c>
      <c r="E43" s="2">
        <v>0</v>
      </c>
      <c r="F43" s="12">
        <v>3.28</v>
      </c>
      <c r="G43" s="3">
        <v>3.3536586761474609</v>
      </c>
      <c r="H43" s="3">
        <v>3.9634146690368652</v>
      </c>
      <c r="I43" s="3">
        <v>4.5731706619262695</v>
      </c>
      <c r="J43" s="33">
        <v>52.566574096679688</v>
      </c>
      <c r="K43" s="3">
        <v>0.68484586477279663</v>
      </c>
      <c r="L43" s="33">
        <v>32.0625</v>
      </c>
      <c r="M43" s="58">
        <v>45762</v>
      </c>
      <c r="N43" s="12">
        <v>5</v>
      </c>
      <c r="O43" s="12" t="s">
        <v>415</v>
      </c>
      <c r="P43" s="2">
        <v>61</v>
      </c>
      <c r="Q43" s="2">
        <v>75</v>
      </c>
      <c r="R43" s="2">
        <v>0</v>
      </c>
      <c r="S43" s="12">
        <v>19.22</v>
      </c>
      <c r="T43" s="3">
        <v>3.1737773418426514</v>
      </c>
      <c r="U43" s="3">
        <v>3.9021854400634766</v>
      </c>
      <c r="V43" s="3">
        <v>4.1623311042785645</v>
      </c>
      <c r="W43" s="33">
        <v>64.93280029296875</v>
      </c>
      <c r="X43" s="3">
        <v>2.494887113571167</v>
      </c>
      <c r="Y43" s="33">
        <v>176</v>
      </c>
      <c r="Z43" s="58">
        <v>45767</v>
      </c>
      <c r="AA43" s="12">
        <v>5</v>
      </c>
      <c r="AB43" s="12" t="s">
        <v>429</v>
      </c>
      <c r="AC43" s="2">
        <v>172</v>
      </c>
      <c r="AD43" s="2">
        <v>210</v>
      </c>
      <c r="AE43" s="2">
        <v>0</v>
      </c>
      <c r="AF43" s="12">
        <v>61.62</v>
      </c>
      <c r="AG43" s="3">
        <v>2.7913014888763428</v>
      </c>
      <c r="AH43" s="3">
        <v>3.4079844951629639</v>
      </c>
      <c r="AI43" s="3">
        <v>3.6189548969268799</v>
      </c>
      <c r="AJ43" s="33">
        <v>67.840782165527344</v>
      </c>
      <c r="AK43" s="3">
        <v>6.4120726585388184</v>
      </c>
      <c r="AL43" s="33">
        <v>532.125</v>
      </c>
      <c r="AM43" s="58">
        <v>45783</v>
      </c>
    </row>
    <row r="44" spans="1:39" x14ac:dyDescent="0.3">
      <c r="A44" s="12">
        <v>6</v>
      </c>
      <c r="B44" s="12" t="s">
        <v>405</v>
      </c>
      <c r="C44" s="2">
        <v>14</v>
      </c>
      <c r="D44" s="2">
        <v>15</v>
      </c>
      <c r="E44" s="2">
        <v>0</v>
      </c>
      <c r="F44" s="12">
        <v>3.82</v>
      </c>
      <c r="G44" s="3">
        <v>3.6649215221405029</v>
      </c>
      <c r="H44" s="3">
        <v>3.926701545715332</v>
      </c>
      <c r="I44" s="3">
        <v>4.1884818077087402</v>
      </c>
      <c r="J44" s="33">
        <v>51.632461547851563</v>
      </c>
      <c r="K44" s="3">
        <v>0.69723576307296753</v>
      </c>
      <c r="L44" s="33">
        <v>32</v>
      </c>
      <c r="M44" s="58">
        <v>45766</v>
      </c>
      <c r="N44" s="12">
        <v>6</v>
      </c>
      <c r="O44" s="12" t="s">
        <v>467</v>
      </c>
      <c r="P44" s="2">
        <v>66</v>
      </c>
      <c r="Q44" s="2">
        <v>80</v>
      </c>
      <c r="R44" s="2">
        <v>0</v>
      </c>
      <c r="S44" s="12">
        <v>20.149999999999999</v>
      </c>
      <c r="T44" s="3">
        <v>3.2754342555999756</v>
      </c>
      <c r="U44" s="3">
        <v>3.9702234268188477</v>
      </c>
      <c r="V44" s="3">
        <v>4.2183623313903809</v>
      </c>
      <c r="W44" s="33">
        <v>64.832290649414063</v>
      </c>
      <c r="X44" s="3">
        <v>2.4987547397613525</v>
      </c>
      <c r="Y44" s="33">
        <v>189</v>
      </c>
      <c r="Z44" s="58">
        <v>45800</v>
      </c>
      <c r="AA44" s="12">
        <v>6</v>
      </c>
      <c r="AB44" s="12" t="s">
        <v>465</v>
      </c>
      <c r="AC44" s="2">
        <v>196</v>
      </c>
      <c r="AD44" s="2">
        <v>229</v>
      </c>
      <c r="AE44" s="2">
        <v>0</v>
      </c>
      <c r="AF44" s="12">
        <v>67</v>
      </c>
      <c r="AG44" s="3">
        <v>2.9253730773925781</v>
      </c>
      <c r="AH44" s="3">
        <v>3.4179103374481201</v>
      </c>
      <c r="AI44" s="3">
        <v>3.5373134613037109</v>
      </c>
      <c r="AJ44" s="33">
        <v>67.052993774414063</v>
      </c>
      <c r="AK44" s="3">
        <v>6.4874062538146973</v>
      </c>
      <c r="AL44" s="33">
        <v>619.3125</v>
      </c>
      <c r="AM44" s="58">
        <v>45782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0"/>
  </sheetPr>
  <dimension ref="A1:AJ41"/>
  <sheetViews>
    <sheetView tabSelected="1" workbookViewId="0">
      <pane ySplit="1" topLeftCell="A2" activePane="bottomLeft" state="frozen"/>
      <selection activeCell="E1" sqref="E1"/>
      <selection pane="bottomLeft" activeCell="R8" sqref="R8"/>
    </sheetView>
  </sheetViews>
  <sheetFormatPr defaultColWidth="9" defaultRowHeight="12.9" x14ac:dyDescent="0.3"/>
  <cols>
    <col min="1" max="1" width="2.07421875" style="12" bestFit="1" customWidth="1"/>
    <col min="2" max="2" width="6.3828125" style="12" bestFit="1" customWidth="1"/>
    <col min="3" max="3" width="2.921875" style="35" bestFit="1" customWidth="1"/>
    <col min="4" max="4" width="4.765625" style="12" bestFit="1" customWidth="1"/>
    <col min="5" max="7" width="5.84375" style="30" bestFit="1" customWidth="1"/>
    <col min="8" max="8" width="4.921875" style="32" bestFit="1" customWidth="1"/>
    <col min="9" max="9" width="5.84375" style="28" bestFit="1" customWidth="1"/>
    <col min="10" max="10" width="5.84375" style="30" bestFit="1" customWidth="1"/>
    <col min="11" max="11" width="2.69140625" style="12" bestFit="1" customWidth="1"/>
    <col min="12" max="12" width="6.765625" style="58" bestFit="1" customWidth="1"/>
    <col min="13" max="13" width="2.07421875" style="12" bestFit="1" customWidth="1"/>
    <col min="14" max="14" width="8.23046875" style="12" bestFit="1" customWidth="1"/>
    <col min="15" max="15" width="3.84375" style="35" bestFit="1" customWidth="1"/>
    <col min="16" max="16" width="5.69140625" style="12" bestFit="1" customWidth="1"/>
    <col min="17" max="19" width="5.84375" style="30" bestFit="1" customWidth="1"/>
    <col min="20" max="20" width="5.84375" style="32" bestFit="1" customWidth="1"/>
    <col min="21" max="21" width="5.84375" style="28" bestFit="1" customWidth="1"/>
    <col min="22" max="22" width="5.84375" style="30" bestFit="1" customWidth="1"/>
    <col min="23" max="23" width="2.69140625" style="12" bestFit="1" customWidth="1"/>
    <col min="24" max="24" width="6.765625" style="58" bestFit="1" customWidth="1"/>
    <col min="25" max="25" width="2.07421875" style="12" bestFit="1" customWidth="1"/>
    <col min="26" max="26" width="8.23046875" style="12" bestFit="1" customWidth="1"/>
    <col min="27" max="27" width="3.84375" style="35" bestFit="1" customWidth="1"/>
    <col min="28" max="28" width="5.69140625" style="12" bestFit="1" customWidth="1"/>
    <col min="29" max="31" width="5.84375" style="30" bestFit="1" customWidth="1"/>
    <col min="32" max="32" width="5.84375" style="32" bestFit="1" customWidth="1"/>
    <col min="33" max="33" width="5.84375" style="28" bestFit="1" customWidth="1"/>
    <col min="34" max="34" width="5.84375" style="30" bestFit="1" customWidth="1"/>
    <col min="35" max="35" width="2.69140625" style="12" bestFit="1" customWidth="1"/>
    <col min="36" max="36" width="6.765625" style="58" bestFit="1" customWidth="1"/>
    <col min="37" max="16384" width="9" style="6"/>
  </cols>
  <sheetData>
    <row r="1" spans="1:36" x14ac:dyDescent="0.3">
      <c r="A1" s="14" t="s">
        <v>60</v>
      </c>
      <c r="B1" s="14" t="s">
        <v>5</v>
      </c>
      <c r="C1" s="35" t="s">
        <v>50</v>
      </c>
      <c r="D1" s="14" t="s">
        <v>4</v>
      </c>
      <c r="E1" s="93" t="s">
        <v>0</v>
      </c>
      <c r="F1" s="93" t="s">
        <v>9</v>
      </c>
      <c r="G1" s="93" t="s">
        <v>8</v>
      </c>
      <c r="H1" s="94" t="s">
        <v>57</v>
      </c>
      <c r="I1" s="21" t="s">
        <v>56</v>
      </c>
      <c r="J1" s="24" t="s">
        <v>77</v>
      </c>
      <c r="K1" s="18" t="s">
        <v>294</v>
      </c>
      <c r="L1" s="96" t="s">
        <v>110</v>
      </c>
      <c r="M1" s="14" t="s">
        <v>60</v>
      </c>
      <c r="N1" s="14" t="s">
        <v>5</v>
      </c>
      <c r="O1" s="35" t="s">
        <v>50</v>
      </c>
      <c r="P1" s="14" t="s">
        <v>4</v>
      </c>
      <c r="Q1" s="93" t="s">
        <v>0</v>
      </c>
      <c r="R1" s="93" t="s">
        <v>9</v>
      </c>
      <c r="S1" s="93" t="s">
        <v>8</v>
      </c>
      <c r="T1" s="94" t="s">
        <v>6</v>
      </c>
      <c r="U1" s="21" t="s">
        <v>56</v>
      </c>
      <c r="V1" s="24" t="s">
        <v>77</v>
      </c>
      <c r="W1" s="18" t="s">
        <v>294</v>
      </c>
      <c r="X1" s="96" t="s">
        <v>110</v>
      </c>
      <c r="Y1" s="14" t="s">
        <v>60</v>
      </c>
      <c r="Z1" s="14" t="s">
        <v>5</v>
      </c>
      <c r="AA1" s="35" t="s">
        <v>50</v>
      </c>
      <c r="AB1" s="14" t="s">
        <v>4</v>
      </c>
      <c r="AC1" s="93" t="s">
        <v>0</v>
      </c>
      <c r="AD1" s="93" t="s">
        <v>9</v>
      </c>
      <c r="AE1" s="93" t="s">
        <v>8</v>
      </c>
      <c r="AF1" s="94" t="s">
        <v>6</v>
      </c>
      <c r="AG1" s="21" t="s">
        <v>56</v>
      </c>
      <c r="AH1" s="24" t="s">
        <v>77</v>
      </c>
      <c r="AI1" s="18" t="s">
        <v>294</v>
      </c>
      <c r="AJ1" s="96" t="s">
        <v>110</v>
      </c>
    </row>
    <row r="2" spans="1:36" x14ac:dyDescent="0.3">
      <c r="A2" s="12">
        <v>1</v>
      </c>
      <c r="B2" s="12" t="s">
        <v>493</v>
      </c>
      <c r="C2" s="35">
        <v>23</v>
      </c>
      <c r="D2" s="12">
        <v>6.21</v>
      </c>
      <c r="E2" s="229">
        <v>3.7037036418914795</v>
      </c>
      <c r="F2" s="287">
        <v>4.9919486045837402</v>
      </c>
      <c r="G2" s="278">
        <v>5.3140096664428711</v>
      </c>
      <c r="H2" s="32">
        <v>60</v>
      </c>
      <c r="I2" s="28">
        <v>9.6618356894412596</v>
      </c>
      <c r="J2" s="30">
        <v>0.74193543195724487</v>
      </c>
      <c r="K2" s="12">
        <v>0</v>
      </c>
      <c r="L2" s="58">
        <v>45808</v>
      </c>
      <c r="M2" s="12">
        <v>1</v>
      </c>
      <c r="N2" s="12" t="s">
        <v>426</v>
      </c>
      <c r="O2" s="35">
        <v>59</v>
      </c>
      <c r="P2" s="12">
        <v>21.46</v>
      </c>
      <c r="Q2" s="236">
        <v>2.7493011951446533</v>
      </c>
      <c r="R2" s="228">
        <v>3.8210625648498535</v>
      </c>
      <c r="S2" s="288">
        <v>4.3336443901062012</v>
      </c>
      <c r="T2" s="32">
        <v>180.375</v>
      </c>
      <c r="U2" s="28">
        <v>8.4051727723749075</v>
      </c>
      <c r="V2" s="30">
        <v>0.7195122241973877</v>
      </c>
      <c r="W2" s="12">
        <v>0</v>
      </c>
      <c r="X2" s="58">
        <v>45793</v>
      </c>
      <c r="Y2" s="12">
        <v>1</v>
      </c>
      <c r="Z2" s="12" t="s">
        <v>475</v>
      </c>
      <c r="AA2" s="35">
        <v>188</v>
      </c>
      <c r="AB2" s="12">
        <v>67.63</v>
      </c>
      <c r="AC2" s="223">
        <v>2.7798316478729248</v>
      </c>
      <c r="AD2" s="226">
        <v>3.40085768699646</v>
      </c>
      <c r="AE2" s="229">
        <v>3.6226527690887451</v>
      </c>
      <c r="AF2" s="32">
        <v>551</v>
      </c>
      <c r="AG2" s="28">
        <v>8.1472722516213452</v>
      </c>
      <c r="AH2" s="30">
        <v>0.81739133596420288</v>
      </c>
      <c r="AI2" s="12">
        <v>0</v>
      </c>
      <c r="AJ2" s="58">
        <v>45807</v>
      </c>
    </row>
    <row r="3" spans="1:36" x14ac:dyDescent="0.3">
      <c r="A3" s="12">
        <v>2</v>
      </c>
      <c r="B3" s="12" t="s">
        <v>453</v>
      </c>
      <c r="C3" s="35">
        <v>22</v>
      </c>
      <c r="D3" s="12">
        <v>5.64</v>
      </c>
      <c r="E3" s="228">
        <v>3.9007093906402588</v>
      </c>
      <c r="F3" s="232">
        <v>4.609929084777832</v>
      </c>
      <c r="G3" s="24">
        <v>5.1418442726135254</v>
      </c>
      <c r="H3" s="32">
        <v>51.1875</v>
      </c>
      <c r="I3" s="28">
        <v>9.0757980871896766</v>
      </c>
      <c r="J3" s="30">
        <v>0.8461538553237915</v>
      </c>
      <c r="K3" s="12">
        <v>0</v>
      </c>
      <c r="L3" s="58">
        <v>45804</v>
      </c>
      <c r="M3" s="12">
        <v>2</v>
      </c>
      <c r="N3" s="12" t="s">
        <v>557</v>
      </c>
      <c r="O3" s="35">
        <v>76</v>
      </c>
      <c r="P3" s="12">
        <v>26.77</v>
      </c>
      <c r="Q3" s="223">
        <v>2.8389987945556641</v>
      </c>
      <c r="R3" s="228">
        <v>3.8849458694458008</v>
      </c>
      <c r="S3" s="288">
        <v>4.2584981918334961</v>
      </c>
      <c r="T3" s="32">
        <v>267.375</v>
      </c>
      <c r="U3" s="28">
        <v>9.9878593734748158</v>
      </c>
      <c r="V3" s="30">
        <v>0.73076921701431274</v>
      </c>
      <c r="W3" s="12">
        <v>0</v>
      </c>
      <c r="X3" s="58">
        <v>45801</v>
      </c>
      <c r="Y3" s="12">
        <v>2</v>
      </c>
      <c r="Z3" s="12" t="s">
        <v>429</v>
      </c>
      <c r="AA3" s="35">
        <v>172</v>
      </c>
      <c r="AB3" s="12">
        <v>61.62</v>
      </c>
      <c r="AC3" s="223">
        <v>2.7913014888763428</v>
      </c>
      <c r="AD3" s="226">
        <v>3.4079844951629639</v>
      </c>
      <c r="AE3" s="229">
        <v>3.6189548969268799</v>
      </c>
      <c r="AF3" s="32">
        <v>532.125</v>
      </c>
      <c r="AG3" s="28">
        <v>8.6355892441383393</v>
      </c>
      <c r="AH3" s="30">
        <v>0.81904757022857666</v>
      </c>
      <c r="AI3" s="12">
        <v>0</v>
      </c>
      <c r="AJ3" s="58">
        <v>45783</v>
      </c>
    </row>
    <row r="4" spans="1:36" x14ac:dyDescent="0.3">
      <c r="A4" s="12">
        <v>3</v>
      </c>
      <c r="B4" s="12" t="s">
        <v>463</v>
      </c>
      <c r="C4" s="35">
        <v>24</v>
      </c>
      <c r="D4" s="12">
        <v>5.91</v>
      </c>
      <c r="E4" s="93">
        <v>4.0609140396118164</v>
      </c>
      <c r="F4" s="232">
        <v>4.5685281753540039</v>
      </c>
      <c r="G4" s="24">
        <v>5.0761423110961914</v>
      </c>
      <c r="H4" s="32">
        <v>51.75</v>
      </c>
      <c r="I4" s="28">
        <v>8.7563454037415021</v>
      </c>
      <c r="J4" s="30">
        <v>0.8888888955116272</v>
      </c>
      <c r="K4" s="12">
        <v>0</v>
      </c>
      <c r="L4" s="58">
        <v>45793</v>
      </c>
      <c r="M4" s="12">
        <v>3</v>
      </c>
      <c r="N4" s="12" t="s">
        <v>459</v>
      </c>
      <c r="O4" s="35">
        <v>100</v>
      </c>
      <c r="P4" s="12">
        <v>27.72</v>
      </c>
      <c r="Q4" s="229">
        <v>3.6075036525726318</v>
      </c>
      <c r="R4" s="93">
        <v>4.0043292045593262</v>
      </c>
      <c r="S4" s="288">
        <v>4.2568545341491699</v>
      </c>
      <c r="T4" s="32">
        <v>255.8125</v>
      </c>
      <c r="U4" s="28">
        <v>9.2284453945407847</v>
      </c>
      <c r="V4" s="30">
        <v>0.90090084075927734</v>
      </c>
      <c r="W4" s="12">
        <v>0</v>
      </c>
      <c r="X4" s="58">
        <v>45793</v>
      </c>
      <c r="Y4" s="12">
        <v>3</v>
      </c>
      <c r="Z4" s="12" t="s">
        <v>477</v>
      </c>
      <c r="AA4" s="35">
        <v>192</v>
      </c>
      <c r="AB4" s="12">
        <v>69.11</v>
      </c>
      <c r="AC4" s="223">
        <v>2.7781796455383301</v>
      </c>
      <c r="AD4" s="226">
        <v>3.385906457901001</v>
      </c>
      <c r="AE4" s="229">
        <v>3.6174213886260986</v>
      </c>
      <c r="AF4" s="32">
        <v>584.8125</v>
      </c>
      <c r="AG4" s="28">
        <v>8.4620531737110785</v>
      </c>
      <c r="AH4" s="30">
        <v>0.82051283121109009</v>
      </c>
      <c r="AI4" s="12">
        <v>0</v>
      </c>
      <c r="AJ4" s="58">
        <v>45806</v>
      </c>
    </row>
    <row r="5" spans="1:36" x14ac:dyDescent="0.3">
      <c r="A5" s="12">
        <v>4</v>
      </c>
      <c r="B5" s="12" t="s">
        <v>400</v>
      </c>
      <c r="C5" s="35">
        <v>15</v>
      </c>
      <c r="D5" s="12">
        <v>3.98</v>
      </c>
      <c r="E5" s="228">
        <v>3.7688441276550293</v>
      </c>
      <c r="F5" s="232">
        <v>4.5226130485534668</v>
      </c>
      <c r="G5" s="24">
        <v>5.0251255035400391</v>
      </c>
      <c r="H5" s="32">
        <v>30.4375</v>
      </c>
      <c r="I5" s="28">
        <v>7.647613028676723</v>
      </c>
      <c r="J5" s="30">
        <v>0.83333331346511841</v>
      </c>
      <c r="K5" s="12">
        <v>0</v>
      </c>
      <c r="L5" s="58">
        <v>45762</v>
      </c>
      <c r="M5" s="12">
        <v>4</v>
      </c>
      <c r="N5" s="12" t="s">
        <v>406</v>
      </c>
      <c r="O5" s="35">
        <v>72</v>
      </c>
      <c r="P5" s="12">
        <v>21.66</v>
      </c>
      <c r="Q5" s="226">
        <v>3.3240997791290283</v>
      </c>
      <c r="R5" s="228">
        <v>3.9704525470733643</v>
      </c>
      <c r="S5" s="93">
        <v>4.2474608421325684</v>
      </c>
      <c r="T5" s="32">
        <v>171.25</v>
      </c>
      <c r="U5" s="28">
        <v>7.9062789107295668</v>
      </c>
      <c r="V5" s="30">
        <v>0.83720928430557251</v>
      </c>
      <c r="W5" s="12">
        <v>0</v>
      </c>
      <c r="X5" s="58">
        <v>45716</v>
      </c>
      <c r="Y5" s="12">
        <v>4</v>
      </c>
      <c r="Z5" s="12" t="s">
        <v>500</v>
      </c>
      <c r="AA5" s="35">
        <v>168</v>
      </c>
      <c r="AB5" s="12">
        <v>63.59</v>
      </c>
      <c r="AC5" s="236">
        <v>2.6419248580932617</v>
      </c>
      <c r="AD5" s="226">
        <v>3.3024060726165771</v>
      </c>
      <c r="AE5" s="229">
        <v>3.6169209480285645</v>
      </c>
      <c r="AF5" s="32">
        <v>554.4375</v>
      </c>
      <c r="AG5" s="28">
        <v>8.7189416365717101</v>
      </c>
      <c r="AH5" s="30">
        <v>0.80000001192092896</v>
      </c>
      <c r="AI5" s="12">
        <v>0</v>
      </c>
      <c r="AJ5" s="58">
        <v>45763</v>
      </c>
    </row>
    <row r="6" spans="1:36" x14ac:dyDescent="0.3">
      <c r="A6" s="12">
        <v>5</v>
      </c>
      <c r="B6" s="12" t="s">
        <v>408</v>
      </c>
      <c r="C6" s="35">
        <v>27</v>
      </c>
      <c r="D6" s="12">
        <v>5.78</v>
      </c>
      <c r="E6" s="232">
        <v>4.6712799072265625</v>
      </c>
      <c r="F6" s="232">
        <v>4.6712799072265625</v>
      </c>
      <c r="G6" s="24">
        <v>5.017301082611084</v>
      </c>
      <c r="H6" s="32">
        <v>57.75</v>
      </c>
      <c r="I6" s="28">
        <v>9.9913491182926517</v>
      </c>
      <c r="J6" s="30">
        <v>1</v>
      </c>
      <c r="K6" s="12">
        <v>0</v>
      </c>
      <c r="L6" s="58">
        <v>45763</v>
      </c>
      <c r="M6" s="12">
        <v>5</v>
      </c>
      <c r="N6" s="12" t="s">
        <v>447</v>
      </c>
      <c r="O6" s="35">
        <v>68</v>
      </c>
      <c r="P6" s="12">
        <v>23.78</v>
      </c>
      <c r="Q6" s="223">
        <v>2.8595457077026367</v>
      </c>
      <c r="R6" s="228">
        <v>3.7846930027008057</v>
      </c>
      <c r="S6" s="93">
        <v>4.2472662925720215</v>
      </c>
      <c r="T6" s="32">
        <v>221.25</v>
      </c>
      <c r="U6" s="28">
        <v>9.3040367372340196</v>
      </c>
      <c r="V6" s="30">
        <v>0.75555551052093506</v>
      </c>
      <c r="W6" s="12">
        <v>0</v>
      </c>
      <c r="X6" s="58">
        <v>45805</v>
      </c>
      <c r="Y6" s="12">
        <v>5</v>
      </c>
      <c r="Z6" s="12" t="s">
        <v>473</v>
      </c>
      <c r="AA6" s="35">
        <v>194</v>
      </c>
      <c r="AB6" s="12">
        <v>69.680000000000007</v>
      </c>
      <c r="AC6" s="223">
        <v>2.7841560840606689</v>
      </c>
      <c r="AD6" s="226">
        <v>3.3295063972473145</v>
      </c>
      <c r="AE6" s="229">
        <v>3.6021814346313477</v>
      </c>
      <c r="AF6" s="32">
        <v>604.4375</v>
      </c>
      <c r="AG6" s="28">
        <v>8.6744761388168765</v>
      </c>
      <c r="AH6" s="30">
        <v>0.83620685338973999</v>
      </c>
      <c r="AI6" s="12">
        <v>0</v>
      </c>
      <c r="AJ6" s="58">
        <v>45807</v>
      </c>
    </row>
    <row r="7" spans="1:36" x14ac:dyDescent="0.3">
      <c r="A7" s="12">
        <v>6</v>
      </c>
      <c r="B7" s="12" t="s">
        <v>493</v>
      </c>
      <c r="C7" s="35">
        <v>17</v>
      </c>
      <c r="D7" s="12">
        <v>5.43</v>
      </c>
      <c r="E7" s="222">
        <v>3.1307551860809326</v>
      </c>
      <c r="F7" s="93">
        <v>4.2357277870178223</v>
      </c>
      <c r="G7" s="287">
        <v>4.9723758697509766</v>
      </c>
      <c r="H7" s="32">
        <v>53</v>
      </c>
      <c r="I7" s="28">
        <v>9.7605896271668975</v>
      </c>
      <c r="J7" s="30">
        <v>0.73913037776947021</v>
      </c>
      <c r="K7" s="12">
        <v>0</v>
      </c>
      <c r="L7" s="58">
        <v>45800</v>
      </c>
      <c r="M7" s="12">
        <v>6</v>
      </c>
      <c r="N7" s="12" t="s">
        <v>830</v>
      </c>
      <c r="O7" s="35">
        <v>60</v>
      </c>
      <c r="P7" s="12">
        <v>18.440000000000001</v>
      </c>
      <c r="Q7" s="226">
        <v>3.2537961006164551</v>
      </c>
      <c r="R7" s="228">
        <v>3.850325345993042</v>
      </c>
      <c r="S7" s="93">
        <v>4.2299346923828125</v>
      </c>
      <c r="T7" s="32">
        <v>174.25</v>
      </c>
      <c r="U7" s="28">
        <v>9.449565886843132</v>
      </c>
      <c r="V7" s="30">
        <v>0.84507042169570923</v>
      </c>
      <c r="W7" s="12">
        <v>0</v>
      </c>
      <c r="X7" s="58">
        <v>45810</v>
      </c>
      <c r="Y7" s="12">
        <v>6</v>
      </c>
      <c r="Z7" s="12" t="s">
        <v>437</v>
      </c>
      <c r="AA7" s="35">
        <v>159</v>
      </c>
      <c r="AB7" s="12">
        <v>61.91</v>
      </c>
      <c r="AC7" s="236">
        <v>2.5682442188262939</v>
      </c>
      <c r="AD7" s="226">
        <v>3.2951056957244873</v>
      </c>
      <c r="AE7" s="229">
        <v>3.6020028591156006</v>
      </c>
      <c r="AF7" s="32">
        <v>508.3125</v>
      </c>
      <c r="AG7" s="28">
        <v>8.2105072080895489</v>
      </c>
      <c r="AH7" s="30">
        <v>0.77941179275512695</v>
      </c>
      <c r="AI7" s="12">
        <v>0</v>
      </c>
      <c r="AJ7" s="58">
        <v>45807</v>
      </c>
    </row>
    <row r="8" spans="1:36" x14ac:dyDescent="0.3">
      <c r="A8" s="12">
        <v>7</v>
      </c>
      <c r="B8" s="12" t="s">
        <v>453</v>
      </c>
      <c r="C8" s="35">
        <v>21</v>
      </c>
      <c r="D8" s="12">
        <v>6.87</v>
      </c>
      <c r="E8" s="222">
        <v>3.0567686557769775</v>
      </c>
      <c r="F8" s="288">
        <v>4.3668122291564941</v>
      </c>
      <c r="G8" s="287">
        <v>4.9490537643432617</v>
      </c>
      <c r="H8" s="32">
        <v>57.4375</v>
      </c>
      <c r="I8" s="28">
        <v>8.3606260490244129</v>
      </c>
      <c r="J8" s="30">
        <v>0.70000004768371582</v>
      </c>
      <c r="K8" s="12">
        <v>0</v>
      </c>
      <c r="L8" s="58">
        <v>45763</v>
      </c>
      <c r="M8" s="12">
        <v>7</v>
      </c>
      <c r="N8" s="12" t="s">
        <v>467</v>
      </c>
      <c r="O8" s="35">
        <v>66</v>
      </c>
      <c r="P8" s="12">
        <v>20.149999999999999</v>
      </c>
      <c r="Q8" s="226">
        <v>3.2754342555999756</v>
      </c>
      <c r="R8" s="228">
        <v>3.9702234268188477</v>
      </c>
      <c r="S8" s="93">
        <v>4.2183623313903809</v>
      </c>
      <c r="T8" s="32">
        <v>189</v>
      </c>
      <c r="U8" s="28">
        <v>9.3796527830299539</v>
      </c>
      <c r="V8" s="30">
        <v>0.82499998807907104</v>
      </c>
      <c r="W8" s="12">
        <v>0</v>
      </c>
      <c r="X8" s="58">
        <v>45800</v>
      </c>
      <c r="Y8" s="12">
        <v>7</v>
      </c>
      <c r="Z8" s="12" t="s">
        <v>439</v>
      </c>
      <c r="AA8" s="35">
        <v>178</v>
      </c>
      <c r="AB8" s="12">
        <v>62.07</v>
      </c>
      <c r="AC8" s="223">
        <v>2.8677299022674561</v>
      </c>
      <c r="AD8" s="226">
        <v>3.3671660423278809</v>
      </c>
      <c r="AE8" s="229">
        <v>3.5766069889068604</v>
      </c>
      <c r="AF8" s="32">
        <v>541.1875</v>
      </c>
      <c r="AG8" s="28">
        <v>8.7189866708687536</v>
      </c>
      <c r="AH8" s="30">
        <v>0.85167461633682251</v>
      </c>
      <c r="AI8" s="12">
        <v>0</v>
      </c>
      <c r="AJ8" s="58">
        <v>45779</v>
      </c>
    </row>
    <row r="9" spans="1:36" x14ac:dyDescent="0.3">
      <c r="B9" s="12" t="s">
        <v>482</v>
      </c>
      <c r="C9" s="35">
        <v>33</v>
      </c>
      <c r="D9" s="12">
        <v>8.73</v>
      </c>
      <c r="E9" s="228">
        <v>3.7800688743591309</v>
      </c>
      <c r="F9" s="232">
        <v>4.6964492797851563</v>
      </c>
      <c r="G9" s="287">
        <v>4.925544261932373</v>
      </c>
      <c r="H9" s="32">
        <v>79</v>
      </c>
      <c r="I9" s="28">
        <v>9.0492559155120986</v>
      </c>
      <c r="J9" s="30">
        <v>0.80487805604934692</v>
      </c>
      <c r="K9" s="12">
        <v>0</v>
      </c>
      <c r="L9" s="58">
        <v>45763</v>
      </c>
      <c r="N9" s="12" t="s">
        <v>471</v>
      </c>
      <c r="O9" s="35">
        <v>75</v>
      </c>
      <c r="P9" s="12">
        <v>23.26</v>
      </c>
      <c r="Q9" s="222">
        <v>3.2244195938110352</v>
      </c>
      <c r="R9" s="228">
        <v>3.7833189964294434</v>
      </c>
      <c r="S9" s="93">
        <v>4.2132415771484375</v>
      </c>
      <c r="T9" s="32">
        <v>221.25</v>
      </c>
      <c r="U9" s="28">
        <v>9.5120377395901698</v>
      </c>
      <c r="V9" s="30">
        <v>0.85227274894714355</v>
      </c>
      <c r="W9" s="12">
        <v>0</v>
      </c>
      <c r="X9" s="58">
        <v>45793</v>
      </c>
      <c r="Z9" s="12" t="s">
        <v>462</v>
      </c>
      <c r="AA9" s="35">
        <v>233</v>
      </c>
      <c r="AB9" s="12">
        <v>79.45</v>
      </c>
      <c r="AC9" s="223">
        <v>2.9326622486114502</v>
      </c>
      <c r="AD9" s="226">
        <v>3.423537015914917</v>
      </c>
      <c r="AE9" s="229">
        <v>3.5745754241943359</v>
      </c>
      <c r="AF9" s="32">
        <v>663.25</v>
      </c>
      <c r="AG9" s="28">
        <v>8.3480179418014977</v>
      </c>
      <c r="AH9" s="30">
        <v>0.85661762952804565</v>
      </c>
      <c r="AI9" s="12">
        <v>0</v>
      </c>
      <c r="AJ9" s="58">
        <v>45779</v>
      </c>
    </row>
    <row r="10" spans="1:36" x14ac:dyDescent="0.3">
      <c r="B10" s="12" t="s">
        <v>412</v>
      </c>
      <c r="C10" s="35">
        <v>20</v>
      </c>
      <c r="D10" s="12">
        <v>5.49</v>
      </c>
      <c r="E10" s="229">
        <v>3.6429874897003174</v>
      </c>
      <c r="F10" s="232">
        <v>4.7358837127685547</v>
      </c>
      <c r="G10" s="287">
        <v>4.9180331230163574</v>
      </c>
      <c r="H10" s="32">
        <v>41.5</v>
      </c>
      <c r="I10" s="28">
        <v>7.5591988579532448</v>
      </c>
      <c r="J10" s="30">
        <v>0.76923078298568726</v>
      </c>
      <c r="K10" s="12">
        <v>0</v>
      </c>
      <c r="L10" s="58">
        <v>45767</v>
      </c>
      <c r="N10" s="12" t="s">
        <v>440</v>
      </c>
      <c r="O10" s="35">
        <v>92</v>
      </c>
      <c r="P10" s="12">
        <v>28.26</v>
      </c>
      <c r="Q10" s="226">
        <v>3.2554848194122314</v>
      </c>
      <c r="R10" s="228">
        <v>3.7862703800201416</v>
      </c>
      <c r="S10" s="93">
        <v>4.2108988761901855</v>
      </c>
      <c r="T10" s="32">
        <v>254</v>
      </c>
      <c r="U10" s="28">
        <v>8.9879687877854639</v>
      </c>
      <c r="V10" s="30">
        <v>0.85981309413909912</v>
      </c>
      <c r="W10" s="12">
        <v>0</v>
      </c>
      <c r="X10" s="58">
        <v>45805</v>
      </c>
      <c r="Z10" s="12" t="s">
        <v>503</v>
      </c>
      <c r="AA10" s="35">
        <v>168</v>
      </c>
      <c r="AB10" s="12">
        <v>64.05</v>
      </c>
      <c r="AC10" s="236">
        <v>2.6229507923126221</v>
      </c>
      <c r="AD10" s="226">
        <v>3.3255267143249512</v>
      </c>
      <c r="AE10" s="229">
        <v>3.5597188472747803</v>
      </c>
      <c r="AF10" s="32">
        <v>548.375</v>
      </c>
      <c r="AG10" s="28">
        <v>8.5616701619337423</v>
      </c>
      <c r="AH10" s="30">
        <v>0.78873240947723389</v>
      </c>
      <c r="AI10" s="12">
        <v>0</v>
      </c>
      <c r="AJ10" s="58">
        <v>45805</v>
      </c>
    </row>
    <row r="11" spans="1:36" x14ac:dyDescent="0.3">
      <c r="B11" s="12" t="s">
        <v>433</v>
      </c>
      <c r="C11" s="35">
        <v>19</v>
      </c>
      <c r="D11" s="12">
        <v>4.68</v>
      </c>
      <c r="E11" s="93">
        <v>4.0598292350769043</v>
      </c>
      <c r="F11" s="232">
        <v>4.7008547782897949</v>
      </c>
      <c r="G11" s="287">
        <v>4.9145302772521973</v>
      </c>
      <c r="H11" s="32">
        <v>35.75</v>
      </c>
      <c r="I11" s="28">
        <v>7.6388891690816738</v>
      </c>
      <c r="J11" s="30">
        <v>0.86363637447357178</v>
      </c>
      <c r="K11" s="12">
        <v>0</v>
      </c>
      <c r="L11" s="58">
        <v>45765</v>
      </c>
      <c r="N11" s="12" t="s">
        <v>461</v>
      </c>
      <c r="O11" s="35">
        <v>80</v>
      </c>
      <c r="P11" s="12">
        <v>23.28</v>
      </c>
      <c r="Q11" s="226">
        <v>3.4364259243011475</v>
      </c>
      <c r="R11" s="228">
        <v>3.9948451519012451</v>
      </c>
      <c r="S11" s="93">
        <v>4.2096219062805176</v>
      </c>
      <c r="T11" s="32">
        <v>226.1875</v>
      </c>
      <c r="U11" s="28">
        <v>9.7159576172071027</v>
      </c>
      <c r="V11" s="30">
        <v>0.86021506786346436</v>
      </c>
      <c r="W11" s="12">
        <v>0</v>
      </c>
      <c r="X11" s="58">
        <v>45810</v>
      </c>
      <c r="Z11" s="12" t="s">
        <v>478</v>
      </c>
      <c r="AA11" s="35">
        <v>181</v>
      </c>
      <c r="AB11" s="12">
        <v>65.5</v>
      </c>
      <c r="AC11" s="223">
        <v>2.7633588314056396</v>
      </c>
      <c r="AD11" s="226">
        <v>3.3435113430023193</v>
      </c>
      <c r="AE11" s="229">
        <v>3.5572519302368164</v>
      </c>
      <c r="AF11" s="32">
        <v>562.375</v>
      </c>
      <c r="AG11" s="28">
        <v>8.5858778625954191</v>
      </c>
      <c r="AH11" s="30">
        <v>0.8264840841293335</v>
      </c>
      <c r="AI11" s="12">
        <v>0</v>
      </c>
      <c r="AJ11" s="58">
        <v>45808</v>
      </c>
    </row>
    <row r="12" spans="1:36" x14ac:dyDescent="0.3">
      <c r="A12" s="12">
        <v>1</v>
      </c>
      <c r="B12" s="12" t="s">
        <v>493</v>
      </c>
      <c r="C12" s="35">
        <v>23</v>
      </c>
      <c r="D12" s="12">
        <v>6.21</v>
      </c>
      <c r="E12" s="229">
        <v>3.7037036418914795</v>
      </c>
      <c r="F12" s="287">
        <v>4.9919486045837402</v>
      </c>
      <c r="G12" s="278">
        <v>5.3140096664428711</v>
      </c>
      <c r="H12" s="32">
        <v>60</v>
      </c>
      <c r="I12" s="28">
        <v>9.6618356894412596</v>
      </c>
      <c r="J12" s="30">
        <v>0.74193543195724487</v>
      </c>
      <c r="K12" s="12">
        <v>0</v>
      </c>
      <c r="L12" s="58">
        <v>45808</v>
      </c>
      <c r="M12" s="12">
        <v>1</v>
      </c>
      <c r="N12" s="12" t="s">
        <v>459</v>
      </c>
      <c r="O12" s="35">
        <v>100</v>
      </c>
      <c r="P12" s="12">
        <v>27.72</v>
      </c>
      <c r="Q12" s="229">
        <v>3.6075036525726318</v>
      </c>
      <c r="R12" s="93">
        <v>4.0043292045593262</v>
      </c>
      <c r="S12" s="288">
        <v>4.2568545341491699</v>
      </c>
      <c r="T12" s="32">
        <v>255.8125</v>
      </c>
      <c r="U12" s="28">
        <v>9.2284453945407847</v>
      </c>
      <c r="V12" s="30">
        <v>0.90090084075927734</v>
      </c>
      <c r="W12" s="12">
        <v>0</v>
      </c>
      <c r="X12" s="58">
        <v>45793</v>
      </c>
      <c r="Y12" s="12">
        <v>1</v>
      </c>
      <c r="Z12" s="12" t="s">
        <v>462</v>
      </c>
      <c r="AA12" s="35">
        <v>233</v>
      </c>
      <c r="AB12" s="12">
        <v>79.45</v>
      </c>
      <c r="AC12" s="223">
        <v>2.9326622486114502</v>
      </c>
      <c r="AD12" s="226">
        <v>3.423537015914917</v>
      </c>
      <c r="AE12" s="229">
        <v>3.5745754241943359</v>
      </c>
      <c r="AF12" s="32">
        <v>663.25</v>
      </c>
      <c r="AG12" s="28">
        <v>8.3480179418014977</v>
      </c>
      <c r="AH12" s="30">
        <v>0.85661762952804565</v>
      </c>
      <c r="AI12" s="12">
        <v>0</v>
      </c>
      <c r="AJ12" s="58">
        <v>45779</v>
      </c>
    </row>
    <row r="13" spans="1:36" x14ac:dyDescent="0.3">
      <c r="A13" s="12">
        <v>2</v>
      </c>
      <c r="B13" s="12" t="s">
        <v>412</v>
      </c>
      <c r="C13" s="35">
        <v>20</v>
      </c>
      <c r="D13" s="12">
        <v>5.49</v>
      </c>
      <c r="E13" s="229">
        <v>3.6429874897003174</v>
      </c>
      <c r="F13" s="232">
        <v>4.7358837127685547</v>
      </c>
      <c r="G13" s="287">
        <v>4.9180331230163574</v>
      </c>
      <c r="H13" s="32">
        <v>41.5</v>
      </c>
      <c r="I13" s="28">
        <v>7.5591988579532448</v>
      </c>
      <c r="J13" s="30">
        <v>0.76923078298568726</v>
      </c>
      <c r="K13" s="12">
        <v>0</v>
      </c>
      <c r="L13" s="58">
        <v>45767</v>
      </c>
      <c r="M13" s="12">
        <v>2</v>
      </c>
      <c r="N13" s="12" t="s">
        <v>461</v>
      </c>
      <c r="O13" s="35">
        <v>80</v>
      </c>
      <c r="P13" s="12">
        <v>23.28</v>
      </c>
      <c r="Q13" s="226">
        <v>3.4364259243011475</v>
      </c>
      <c r="R13" s="228">
        <v>3.9948451519012451</v>
      </c>
      <c r="S13" s="93">
        <v>4.2096219062805176</v>
      </c>
      <c r="T13" s="32">
        <v>226.1875</v>
      </c>
      <c r="U13" s="28">
        <v>9.7159576172071027</v>
      </c>
      <c r="V13" s="30">
        <v>0.86021506786346436</v>
      </c>
      <c r="W13" s="12">
        <v>0</v>
      </c>
      <c r="X13" s="58">
        <v>45810</v>
      </c>
      <c r="Y13" s="12">
        <v>2</v>
      </c>
      <c r="Z13" s="12" t="s">
        <v>465</v>
      </c>
      <c r="AA13" s="35">
        <v>196</v>
      </c>
      <c r="AB13" s="12">
        <v>67</v>
      </c>
      <c r="AC13" s="223">
        <v>2.9253730773925781</v>
      </c>
      <c r="AD13" s="226">
        <v>3.4179103374481201</v>
      </c>
      <c r="AE13" s="229">
        <v>3.5373134613037109</v>
      </c>
      <c r="AF13" s="32">
        <v>619.3125</v>
      </c>
      <c r="AG13" s="28">
        <v>9.2434701492537314</v>
      </c>
      <c r="AH13" s="30">
        <v>0.85589522123336792</v>
      </c>
      <c r="AI13" s="12">
        <v>0</v>
      </c>
      <c r="AJ13" s="58">
        <v>45782</v>
      </c>
    </row>
    <row r="14" spans="1:36" x14ac:dyDescent="0.3">
      <c r="A14" s="12">
        <v>3</v>
      </c>
      <c r="B14" s="12" t="s">
        <v>433</v>
      </c>
      <c r="C14" s="35">
        <v>19</v>
      </c>
      <c r="D14" s="12">
        <v>4.68</v>
      </c>
      <c r="E14" s="93">
        <v>4.0598292350769043</v>
      </c>
      <c r="F14" s="232">
        <v>4.7008547782897949</v>
      </c>
      <c r="G14" s="287">
        <v>4.9145302772521973</v>
      </c>
      <c r="H14" s="32">
        <v>35.75</v>
      </c>
      <c r="I14" s="28">
        <v>7.6388891690816738</v>
      </c>
      <c r="J14" s="30">
        <v>0.86363637447357178</v>
      </c>
      <c r="K14" s="12">
        <v>0</v>
      </c>
      <c r="L14" s="58">
        <v>45765</v>
      </c>
      <c r="M14" s="12">
        <v>3</v>
      </c>
      <c r="N14" s="12" t="s">
        <v>406</v>
      </c>
      <c r="O14" s="35">
        <v>72</v>
      </c>
      <c r="P14" s="12">
        <v>21.66</v>
      </c>
      <c r="Q14" s="226">
        <v>3.3240997791290283</v>
      </c>
      <c r="R14" s="228">
        <v>3.9704525470733643</v>
      </c>
      <c r="S14" s="93">
        <v>4.2474608421325684</v>
      </c>
      <c r="T14" s="32">
        <v>171.25</v>
      </c>
      <c r="U14" s="28">
        <v>7.9062789107295668</v>
      </c>
      <c r="V14" s="30">
        <v>0.83720928430557251</v>
      </c>
      <c r="W14" s="12">
        <v>0</v>
      </c>
      <c r="X14" s="58">
        <v>45716</v>
      </c>
      <c r="Y14" s="12">
        <v>3</v>
      </c>
      <c r="Z14" s="12" t="s">
        <v>429</v>
      </c>
      <c r="AA14" s="35">
        <v>172</v>
      </c>
      <c r="AB14" s="12">
        <v>61.62</v>
      </c>
      <c r="AC14" s="223">
        <v>2.7913014888763428</v>
      </c>
      <c r="AD14" s="226">
        <v>3.4079844951629639</v>
      </c>
      <c r="AE14" s="229">
        <v>3.6189548969268799</v>
      </c>
      <c r="AF14" s="32">
        <v>532.125</v>
      </c>
      <c r="AG14" s="28">
        <v>8.6355892441383393</v>
      </c>
      <c r="AH14" s="30">
        <v>0.81904757022857666</v>
      </c>
      <c r="AI14" s="12">
        <v>0</v>
      </c>
      <c r="AJ14" s="58">
        <v>45783</v>
      </c>
    </row>
    <row r="15" spans="1:36" x14ac:dyDescent="0.3">
      <c r="A15" s="12">
        <v>4</v>
      </c>
      <c r="B15" s="12" t="s">
        <v>482</v>
      </c>
      <c r="C15" s="35">
        <v>33</v>
      </c>
      <c r="D15" s="12">
        <v>8.73</v>
      </c>
      <c r="E15" s="228">
        <v>3.7800688743591309</v>
      </c>
      <c r="F15" s="232">
        <v>4.6964492797851563</v>
      </c>
      <c r="G15" s="287">
        <v>4.925544261932373</v>
      </c>
      <c r="H15" s="32">
        <v>79</v>
      </c>
      <c r="I15" s="28">
        <v>9.0492559155120986</v>
      </c>
      <c r="J15" s="30">
        <v>0.80487805604934692</v>
      </c>
      <c r="K15" s="12">
        <v>0</v>
      </c>
      <c r="L15" s="58">
        <v>45763</v>
      </c>
      <c r="M15" s="12">
        <v>4</v>
      </c>
      <c r="N15" s="12" t="s">
        <v>467</v>
      </c>
      <c r="O15" s="35">
        <v>66</v>
      </c>
      <c r="P15" s="12">
        <v>20.149999999999999</v>
      </c>
      <c r="Q15" s="226">
        <v>3.2754342555999756</v>
      </c>
      <c r="R15" s="228">
        <v>3.9702234268188477</v>
      </c>
      <c r="S15" s="93">
        <v>4.2183623313903809</v>
      </c>
      <c r="T15" s="32">
        <v>189</v>
      </c>
      <c r="U15" s="28">
        <v>9.3796527830299539</v>
      </c>
      <c r="V15" s="30">
        <v>0.82499998807907104</v>
      </c>
      <c r="W15" s="12">
        <v>0</v>
      </c>
      <c r="X15" s="58">
        <v>45800</v>
      </c>
      <c r="Y15" s="12">
        <v>4</v>
      </c>
      <c r="Z15" s="12" t="s">
        <v>475</v>
      </c>
      <c r="AA15" s="35">
        <v>188</v>
      </c>
      <c r="AB15" s="12">
        <v>67.63</v>
      </c>
      <c r="AC15" s="223">
        <v>2.7798316478729248</v>
      </c>
      <c r="AD15" s="226">
        <v>3.40085768699646</v>
      </c>
      <c r="AE15" s="229">
        <v>3.6226527690887451</v>
      </c>
      <c r="AF15" s="32">
        <v>551</v>
      </c>
      <c r="AG15" s="28">
        <v>8.1472722516213452</v>
      </c>
      <c r="AH15" s="30">
        <v>0.81739133596420288</v>
      </c>
      <c r="AI15" s="12">
        <v>0</v>
      </c>
      <c r="AJ15" s="58">
        <v>45807</v>
      </c>
    </row>
    <row r="16" spans="1:36" x14ac:dyDescent="0.3">
      <c r="A16" s="12">
        <v>5</v>
      </c>
      <c r="B16" s="12" t="s">
        <v>408</v>
      </c>
      <c r="C16" s="35">
        <v>27</v>
      </c>
      <c r="D16" s="12">
        <v>5.78</v>
      </c>
      <c r="E16" s="232">
        <v>4.6712799072265625</v>
      </c>
      <c r="F16" s="232">
        <v>4.6712799072265625</v>
      </c>
      <c r="G16" s="24">
        <v>5.017301082611084</v>
      </c>
      <c r="H16" s="32">
        <v>57.75</v>
      </c>
      <c r="I16" s="28">
        <v>9.9913491182926517</v>
      </c>
      <c r="J16" s="30">
        <v>1</v>
      </c>
      <c r="K16" s="12">
        <v>0</v>
      </c>
      <c r="L16" s="58">
        <v>45763</v>
      </c>
      <c r="M16" s="12">
        <v>5</v>
      </c>
      <c r="N16" s="12" t="s">
        <v>466</v>
      </c>
      <c r="O16" s="35">
        <v>93</v>
      </c>
      <c r="P16" s="12">
        <v>27.82</v>
      </c>
      <c r="Q16" s="226">
        <v>3.342918872833252</v>
      </c>
      <c r="R16" s="228">
        <v>3.9539899826049805</v>
      </c>
      <c r="S16" s="93">
        <v>4.2056074142456055</v>
      </c>
      <c r="T16" s="32">
        <v>220.5625</v>
      </c>
      <c r="U16" s="28">
        <v>7.928199224280891</v>
      </c>
      <c r="V16" s="30">
        <v>0.84545457363128662</v>
      </c>
      <c r="W16" s="12">
        <v>0</v>
      </c>
      <c r="X16" s="58">
        <v>45780</v>
      </c>
      <c r="Y16" s="12">
        <v>5</v>
      </c>
      <c r="Z16" s="12" t="s">
        <v>477</v>
      </c>
      <c r="AA16" s="35">
        <v>192</v>
      </c>
      <c r="AB16" s="12">
        <v>69.11</v>
      </c>
      <c r="AC16" s="223">
        <v>2.7781796455383301</v>
      </c>
      <c r="AD16" s="226">
        <v>3.385906457901001</v>
      </c>
      <c r="AE16" s="229">
        <v>3.6174213886260986</v>
      </c>
      <c r="AF16" s="32">
        <v>584.8125</v>
      </c>
      <c r="AG16" s="28">
        <v>8.4620531737110785</v>
      </c>
      <c r="AH16" s="30">
        <v>0.82051283121109009</v>
      </c>
      <c r="AI16" s="12">
        <v>0</v>
      </c>
      <c r="AJ16" s="58">
        <v>45806</v>
      </c>
    </row>
    <row r="17" spans="1:36" x14ac:dyDescent="0.3">
      <c r="A17" s="12">
        <v>6</v>
      </c>
      <c r="B17" s="12" t="s">
        <v>453</v>
      </c>
      <c r="C17" s="35">
        <v>22</v>
      </c>
      <c r="D17" s="12">
        <v>5.64</v>
      </c>
      <c r="E17" s="228">
        <v>3.9007093906402588</v>
      </c>
      <c r="F17" s="232">
        <v>4.609929084777832</v>
      </c>
      <c r="G17" s="24">
        <v>5.1418442726135254</v>
      </c>
      <c r="H17" s="32">
        <v>51.1875</v>
      </c>
      <c r="I17" s="28">
        <v>9.0757980871896766</v>
      </c>
      <c r="J17" s="30">
        <v>0.8461538553237915</v>
      </c>
      <c r="K17" s="12">
        <v>0</v>
      </c>
      <c r="L17" s="58">
        <v>45804</v>
      </c>
      <c r="M17" s="12">
        <v>6</v>
      </c>
      <c r="N17" s="12" t="s">
        <v>467</v>
      </c>
      <c r="O17" s="35">
        <v>70</v>
      </c>
      <c r="P17" s="12">
        <v>22.06</v>
      </c>
      <c r="Q17" s="222">
        <v>3.1731641292572021</v>
      </c>
      <c r="R17" s="228">
        <v>3.9437897205352783</v>
      </c>
      <c r="S17" s="93">
        <v>4.1251134872436523</v>
      </c>
      <c r="T17" s="32">
        <v>196.75</v>
      </c>
      <c r="U17" s="28">
        <v>8.9188578768442426</v>
      </c>
      <c r="V17" s="30">
        <v>0.80459767580032349</v>
      </c>
      <c r="W17" s="12">
        <v>0</v>
      </c>
      <c r="X17" s="58">
        <v>45804</v>
      </c>
      <c r="Y17" s="12">
        <v>6</v>
      </c>
      <c r="Z17" s="12" t="s">
        <v>439</v>
      </c>
      <c r="AA17" s="35">
        <v>178</v>
      </c>
      <c r="AB17" s="12">
        <v>62.07</v>
      </c>
      <c r="AC17" s="223">
        <v>2.8677299022674561</v>
      </c>
      <c r="AD17" s="226">
        <v>3.3671660423278809</v>
      </c>
      <c r="AE17" s="229">
        <v>3.5766069889068604</v>
      </c>
      <c r="AF17" s="32">
        <v>541.1875</v>
      </c>
      <c r="AG17" s="28">
        <v>8.7189866708687536</v>
      </c>
      <c r="AH17" s="30">
        <v>0.85167461633682251</v>
      </c>
      <c r="AI17" s="12">
        <v>0</v>
      </c>
      <c r="AJ17" s="58">
        <v>45779</v>
      </c>
    </row>
    <row r="18" spans="1:36" x14ac:dyDescent="0.3">
      <c r="A18" s="12">
        <v>7</v>
      </c>
      <c r="B18" s="12" t="s">
        <v>433</v>
      </c>
      <c r="C18" s="35">
        <v>18</v>
      </c>
      <c r="D18" s="12">
        <v>4.58</v>
      </c>
      <c r="E18" s="228">
        <v>3.9301309585571289</v>
      </c>
      <c r="F18" s="232">
        <v>4.5851531028747559</v>
      </c>
      <c r="G18" s="287">
        <v>4.8034934997558594</v>
      </c>
      <c r="H18" s="32">
        <v>41.1875</v>
      </c>
      <c r="I18" s="28">
        <v>8.9929040799353999</v>
      </c>
      <c r="J18" s="30">
        <v>0.85714280605316162</v>
      </c>
      <c r="K18" s="12">
        <v>0</v>
      </c>
      <c r="L18" s="58">
        <v>45810</v>
      </c>
      <c r="M18" s="12">
        <v>7</v>
      </c>
      <c r="N18" s="12" t="s">
        <v>415</v>
      </c>
      <c r="O18" s="35">
        <v>61</v>
      </c>
      <c r="P18" s="12">
        <v>19.22</v>
      </c>
      <c r="Q18" s="222">
        <v>3.1737773418426514</v>
      </c>
      <c r="R18" s="228">
        <v>3.9021854400634766</v>
      </c>
      <c r="S18" s="93">
        <v>4.1623311042785645</v>
      </c>
      <c r="T18" s="32">
        <v>176</v>
      </c>
      <c r="U18" s="28">
        <v>9.1571283188189927</v>
      </c>
      <c r="V18" s="30">
        <v>0.81333327293395996</v>
      </c>
      <c r="W18" s="12">
        <v>0</v>
      </c>
      <c r="X18" s="58">
        <v>45767</v>
      </c>
      <c r="Y18" s="12">
        <v>7</v>
      </c>
      <c r="Z18" s="12" t="s">
        <v>478</v>
      </c>
      <c r="AA18" s="35">
        <v>181</v>
      </c>
      <c r="AB18" s="12">
        <v>65.5</v>
      </c>
      <c r="AC18" s="223">
        <v>2.7633588314056396</v>
      </c>
      <c r="AD18" s="226">
        <v>3.3435113430023193</v>
      </c>
      <c r="AE18" s="229">
        <v>3.5572519302368164</v>
      </c>
      <c r="AF18" s="32">
        <v>562.375</v>
      </c>
      <c r="AG18" s="28">
        <v>8.5858778625954191</v>
      </c>
      <c r="AH18" s="30">
        <v>0.8264840841293335</v>
      </c>
      <c r="AI18" s="12">
        <v>0</v>
      </c>
      <c r="AJ18" s="58">
        <v>45808</v>
      </c>
    </row>
    <row r="19" spans="1:36" x14ac:dyDescent="0.3">
      <c r="B19" s="12" t="s">
        <v>463</v>
      </c>
      <c r="C19" s="35">
        <v>24</v>
      </c>
      <c r="D19" s="12">
        <v>5.91</v>
      </c>
      <c r="E19" s="93">
        <v>4.0609140396118164</v>
      </c>
      <c r="F19" s="232">
        <v>4.5685281753540039</v>
      </c>
      <c r="G19" s="24">
        <v>5.0761423110961914</v>
      </c>
      <c r="H19" s="32">
        <v>51.75</v>
      </c>
      <c r="I19" s="28">
        <v>8.7563454037415021</v>
      </c>
      <c r="J19" s="30">
        <v>0.8888888955116272</v>
      </c>
      <c r="K19" s="12">
        <v>0</v>
      </c>
      <c r="L19" s="58">
        <v>45793</v>
      </c>
      <c r="N19" s="12" t="s">
        <v>434</v>
      </c>
      <c r="O19" s="35">
        <v>69</v>
      </c>
      <c r="P19" s="12">
        <v>21.82</v>
      </c>
      <c r="Q19" s="222">
        <v>3.1622364521026611</v>
      </c>
      <c r="R19" s="228">
        <v>3.8955087661743164</v>
      </c>
      <c r="S19" s="93">
        <v>4.1704859733581543</v>
      </c>
      <c r="T19" s="32">
        <v>207.0625</v>
      </c>
      <c r="U19" s="28">
        <v>9.4895739182396035</v>
      </c>
      <c r="V19" s="30">
        <v>0.81176465749740601</v>
      </c>
      <c r="W19" s="12">
        <v>0</v>
      </c>
      <c r="X19" s="58">
        <v>45767</v>
      </c>
      <c r="Z19" s="12" t="s">
        <v>468</v>
      </c>
      <c r="AA19" s="35">
        <v>196</v>
      </c>
      <c r="AB19" s="12">
        <v>68.77</v>
      </c>
      <c r="AC19" s="223">
        <v>2.8500800132751465</v>
      </c>
      <c r="AD19" s="226">
        <v>3.3299405574798584</v>
      </c>
      <c r="AE19" s="229">
        <v>3.5189764499664307</v>
      </c>
      <c r="AF19" s="32">
        <v>531.75</v>
      </c>
      <c r="AG19" s="28">
        <v>7.7322964367719305</v>
      </c>
      <c r="AH19" s="30">
        <v>0.85589516162872314</v>
      </c>
      <c r="AI19" s="12">
        <v>0</v>
      </c>
      <c r="AJ19" s="58">
        <v>45768</v>
      </c>
    </row>
    <row r="20" spans="1:36" x14ac:dyDescent="0.3">
      <c r="B20" s="12" t="s">
        <v>400</v>
      </c>
      <c r="C20" s="35">
        <v>15</v>
      </c>
      <c r="D20" s="12">
        <v>3.98</v>
      </c>
      <c r="E20" s="228">
        <v>3.7688441276550293</v>
      </c>
      <c r="F20" s="232">
        <v>4.5226130485534668</v>
      </c>
      <c r="G20" s="24">
        <v>5.0251255035400391</v>
      </c>
      <c r="H20" s="32">
        <v>30.4375</v>
      </c>
      <c r="I20" s="28">
        <v>7.647613028676723</v>
      </c>
      <c r="J20" s="30">
        <v>0.83333331346511841</v>
      </c>
      <c r="K20" s="12">
        <v>0</v>
      </c>
      <c r="L20" s="58">
        <v>45762</v>
      </c>
      <c r="N20" s="12" t="s">
        <v>557</v>
      </c>
      <c r="O20" s="35">
        <v>76</v>
      </c>
      <c r="P20" s="12">
        <v>26.77</v>
      </c>
      <c r="Q20" s="223">
        <v>2.8389987945556641</v>
      </c>
      <c r="R20" s="228">
        <v>3.8849458694458008</v>
      </c>
      <c r="S20" s="288">
        <v>4.2584981918334961</v>
      </c>
      <c r="T20" s="32">
        <v>267.375</v>
      </c>
      <c r="U20" s="28">
        <v>9.9878593734748158</v>
      </c>
      <c r="V20" s="30">
        <v>0.73076921701431274</v>
      </c>
      <c r="W20" s="12">
        <v>0</v>
      </c>
      <c r="X20" s="58">
        <v>45801</v>
      </c>
      <c r="Z20" s="12" t="s">
        <v>473</v>
      </c>
      <c r="AA20" s="35">
        <v>194</v>
      </c>
      <c r="AB20" s="12">
        <v>69.680000000000007</v>
      </c>
      <c r="AC20" s="223">
        <v>2.7841560840606689</v>
      </c>
      <c r="AD20" s="226">
        <v>3.3295063972473145</v>
      </c>
      <c r="AE20" s="229">
        <v>3.6021814346313477</v>
      </c>
      <c r="AF20" s="32">
        <v>604.4375</v>
      </c>
      <c r="AG20" s="28">
        <v>8.6744761388168765</v>
      </c>
      <c r="AH20" s="30">
        <v>0.83620685338973999</v>
      </c>
      <c r="AI20" s="12">
        <v>0</v>
      </c>
      <c r="AJ20" s="58">
        <v>45807</v>
      </c>
    </row>
    <row r="21" spans="1:36" x14ac:dyDescent="0.3">
      <c r="B21" s="12" t="s">
        <v>412</v>
      </c>
      <c r="C21" s="35">
        <v>24</v>
      </c>
      <c r="D21" s="12">
        <v>6.69</v>
      </c>
      <c r="E21" s="229">
        <v>3.5874438285827637</v>
      </c>
      <c r="F21" s="288">
        <v>4.4843049049377441</v>
      </c>
      <c r="G21" s="232">
        <v>4.633781909942627</v>
      </c>
      <c r="H21" s="32">
        <v>59</v>
      </c>
      <c r="I21" s="28">
        <v>8.8191329589484546</v>
      </c>
      <c r="J21" s="30">
        <v>0.79999995231628418</v>
      </c>
      <c r="K21" s="12">
        <v>0</v>
      </c>
      <c r="L21" s="58">
        <v>45763</v>
      </c>
      <c r="N21" s="12" t="s">
        <v>476</v>
      </c>
      <c r="O21" s="35">
        <v>71</v>
      </c>
      <c r="P21" s="12">
        <v>22.41</v>
      </c>
      <c r="Q21" s="222">
        <v>3.1682283878326416</v>
      </c>
      <c r="R21" s="228">
        <v>3.8821954727172852</v>
      </c>
      <c r="S21" s="93">
        <v>4.1945562362670898</v>
      </c>
      <c r="T21" s="32">
        <v>237.3125</v>
      </c>
      <c r="U21" s="28">
        <v>10.589580616503426</v>
      </c>
      <c r="V21" s="30">
        <v>0.81609195470809937</v>
      </c>
      <c r="W21" s="12">
        <v>0</v>
      </c>
      <c r="X21" s="58">
        <v>45800</v>
      </c>
      <c r="Z21" s="12" t="s">
        <v>503</v>
      </c>
      <c r="AA21" s="35">
        <v>168</v>
      </c>
      <c r="AB21" s="12">
        <v>64.05</v>
      </c>
      <c r="AC21" s="236">
        <v>2.6229507923126221</v>
      </c>
      <c r="AD21" s="226">
        <v>3.3255267143249512</v>
      </c>
      <c r="AE21" s="229">
        <v>3.5597188472747803</v>
      </c>
      <c r="AF21" s="32">
        <v>548.375</v>
      </c>
      <c r="AG21" s="28">
        <v>8.5616701619337423</v>
      </c>
      <c r="AH21" s="30">
        <v>0.78873240947723389</v>
      </c>
      <c r="AI21" s="12">
        <v>0</v>
      </c>
      <c r="AJ21" s="58">
        <v>45805</v>
      </c>
    </row>
    <row r="22" spans="1:36" x14ac:dyDescent="0.3">
      <c r="A22" s="12">
        <v>1</v>
      </c>
      <c r="B22" s="12" t="s">
        <v>558</v>
      </c>
      <c r="C22" s="35">
        <v>10</v>
      </c>
      <c r="D22" s="12">
        <v>3.89</v>
      </c>
      <c r="E22" s="236">
        <v>2.5706939697265625</v>
      </c>
      <c r="F22" s="236">
        <v>2.5706939697265625</v>
      </c>
      <c r="G22" s="223">
        <v>2.8277633190155029</v>
      </c>
      <c r="H22" s="32">
        <v>52</v>
      </c>
      <c r="I22" s="28">
        <v>13.367608894005661</v>
      </c>
      <c r="J22" s="30">
        <v>1</v>
      </c>
      <c r="K22" s="12">
        <v>0</v>
      </c>
      <c r="L22" s="58">
        <v>45717</v>
      </c>
      <c r="M22" s="12">
        <v>1</v>
      </c>
      <c r="N22" s="12" t="s">
        <v>403</v>
      </c>
      <c r="O22" s="35">
        <v>38</v>
      </c>
      <c r="P22" s="12">
        <v>16.78</v>
      </c>
      <c r="Q22" s="235">
        <v>2.2646005153656006</v>
      </c>
      <c r="R22" s="223">
        <v>2.9201428890228271</v>
      </c>
      <c r="S22" s="226">
        <v>3.2777113914489746</v>
      </c>
      <c r="T22" s="32">
        <v>185.9375</v>
      </c>
      <c r="U22" s="28">
        <v>11.080899427374861</v>
      </c>
      <c r="V22" s="30">
        <v>0.77551019191741943</v>
      </c>
      <c r="W22" s="12">
        <v>0</v>
      </c>
      <c r="X22" s="58">
        <v>45776</v>
      </c>
      <c r="Y22" s="12">
        <v>1</v>
      </c>
      <c r="Z22" s="12" t="s">
        <v>499</v>
      </c>
      <c r="AA22" s="35">
        <v>170</v>
      </c>
      <c r="AB22" s="12">
        <v>63.4</v>
      </c>
      <c r="AC22" s="236">
        <v>2.6813879013061523</v>
      </c>
      <c r="AD22" s="222">
        <v>3.1861197948455811</v>
      </c>
      <c r="AE22" s="226">
        <v>3.3596212863922119</v>
      </c>
      <c r="AF22" s="32">
        <v>658.75</v>
      </c>
      <c r="AG22" s="28">
        <v>10.390378298825567</v>
      </c>
      <c r="AH22" s="30">
        <v>0.84158414602279663</v>
      </c>
      <c r="AI22" s="12">
        <v>0</v>
      </c>
      <c r="AJ22" s="58">
        <v>45782</v>
      </c>
    </row>
    <row r="23" spans="1:36" x14ac:dyDescent="0.3">
      <c r="A23" s="12">
        <v>2</v>
      </c>
      <c r="B23" s="12" t="s">
        <v>463</v>
      </c>
      <c r="C23" s="35">
        <v>14</v>
      </c>
      <c r="D23" s="12">
        <v>5.0599999999999996</v>
      </c>
      <c r="E23" s="223">
        <v>2.7667984962463379</v>
      </c>
      <c r="F23" s="226">
        <v>3.3596837520599365</v>
      </c>
      <c r="G23" s="228">
        <v>3.7549407482147217</v>
      </c>
      <c r="H23" s="32">
        <v>66.625</v>
      </c>
      <c r="I23" s="28">
        <v>13.166996196328373</v>
      </c>
      <c r="J23" s="30">
        <v>0.82352942228317261</v>
      </c>
      <c r="K23" s="12">
        <v>0</v>
      </c>
      <c r="L23" s="58">
        <v>45762</v>
      </c>
      <c r="M23" s="12">
        <v>2</v>
      </c>
      <c r="N23" s="12" t="s">
        <v>476</v>
      </c>
      <c r="O23" s="35">
        <v>56</v>
      </c>
      <c r="P23" s="12">
        <v>22.21</v>
      </c>
      <c r="Q23" s="236">
        <v>2.5213868618011475</v>
      </c>
      <c r="R23" s="226">
        <v>3.4669070243835449</v>
      </c>
      <c r="S23" s="228">
        <v>3.7820804119110107</v>
      </c>
      <c r="T23" s="32">
        <v>242.6875</v>
      </c>
      <c r="U23" s="28">
        <v>10.926947771450674</v>
      </c>
      <c r="V23" s="30">
        <v>0.72727268934249878</v>
      </c>
      <c r="W23" s="12">
        <v>0</v>
      </c>
      <c r="X23" s="58">
        <v>45800</v>
      </c>
      <c r="Y23" s="12">
        <v>2</v>
      </c>
      <c r="Z23" s="12" t="s">
        <v>559</v>
      </c>
      <c r="AA23" s="35">
        <v>149</v>
      </c>
      <c r="AB23" s="12">
        <v>73.989999999999995</v>
      </c>
      <c r="AC23" s="234">
        <v>2.0137856006622314</v>
      </c>
      <c r="AD23" s="236">
        <v>2.6084606647491455</v>
      </c>
      <c r="AE23" s="223">
        <v>2.7976753711700439</v>
      </c>
      <c r="AF23" s="32">
        <v>761.9375</v>
      </c>
      <c r="AG23" s="28">
        <v>10.297844600602371</v>
      </c>
      <c r="AH23" s="30">
        <v>0.77202069759368896</v>
      </c>
      <c r="AI23" s="12">
        <v>0</v>
      </c>
      <c r="AJ23" s="58">
        <v>45804</v>
      </c>
    </row>
    <row r="24" spans="1:36" x14ac:dyDescent="0.3">
      <c r="A24" s="12">
        <v>3</v>
      </c>
      <c r="B24" s="12" t="s">
        <v>430</v>
      </c>
      <c r="C24" s="35">
        <v>10</v>
      </c>
      <c r="D24" s="12">
        <v>3.75</v>
      </c>
      <c r="E24" s="236">
        <v>2.6666667461395264</v>
      </c>
      <c r="F24" s="226">
        <v>3.4666666984558105</v>
      </c>
      <c r="G24" s="93">
        <v>4</v>
      </c>
      <c r="H24" s="32">
        <v>48.1875</v>
      </c>
      <c r="I24" s="28">
        <v>12.85</v>
      </c>
      <c r="J24" s="30">
        <v>0.76923078298568726</v>
      </c>
      <c r="K24" s="12">
        <v>0</v>
      </c>
      <c r="L24" s="58">
        <v>45807</v>
      </c>
      <c r="M24" s="12">
        <v>3</v>
      </c>
      <c r="N24" s="12" t="s">
        <v>392</v>
      </c>
      <c r="O24" s="35">
        <v>42</v>
      </c>
      <c r="P24" s="12">
        <v>14.89</v>
      </c>
      <c r="Q24" s="223">
        <v>2.8206849098205566</v>
      </c>
      <c r="R24" s="226">
        <v>3.3579583168029785</v>
      </c>
      <c r="S24" s="226">
        <v>3.492276668548584</v>
      </c>
      <c r="T24" s="32">
        <v>161</v>
      </c>
      <c r="U24" s="28">
        <v>10.812625674128917</v>
      </c>
      <c r="V24" s="30">
        <v>0.8399999737739563</v>
      </c>
      <c r="W24" s="12">
        <v>0</v>
      </c>
      <c r="X24" s="58">
        <v>45801</v>
      </c>
      <c r="Y24" s="12">
        <v>3</v>
      </c>
      <c r="Z24" s="12" t="s">
        <v>396</v>
      </c>
      <c r="AA24" s="35">
        <v>160</v>
      </c>
      <c r="AB24" s="12">
        <v>74.52</v>
      </c>
      <c r="AC24" s="234">
        <v>2.1470746994018555</v>
      </c>
      <c r="AD24" s="236">
        <v>2.6167473793029785</v>
      </c>
      <c r="AE24" s="223">
        <v>2.8180356025695801</v>
      </c>
      <c r="AF24" s="32">
        <v>733.75</v>
      </c>
      <c r="AG24" s="28">
        <v>9.8463504167142304</v>
      </c>
      <c r="AH24" s="30">
        <v>0.82051277160644531</v>
      </c>
      <c r="AI24" s="12">
        <v>0</v>
      </c>
      <c r="AJ24" s="58">
        <v>45763</v>
      </c>
    </row>
    <row r="25" spans="1:36" x14ac:dyDescent="0.3">
      <c r="A25" s="12">
        <v>4</v>
      </c>
      <c r="B25" s="12" t="s">
        <v>391</v>
      </c>
      <c r="C25" s="35">
        <v>15</v>
      </c>
      <c r="D25" s="12">
        <v>5.17</v>
      </c>
      <c r="E25" s="223">
        <v>2.9013538360595703</v>
      </c>
      <c r="F25" s="223">
        <v>2.9013538360595703</v>
      </c>
      <c r="G25" s="222">
        <v>3.0947775840759277</v>
      </c>
      <c r="H25" s="32">
        <v>65.25</v>
      </c>
      <c r="I25" s="28">
        <v>12.620889562302233</v>
      </c>
      <c r="J25" s="30">
        <v>1</v>
      </c>
      <c r="K25" s="12">
        <v>0</v>
      </c>
      <c r="L25" s="58">
        <v>45766</v>
      </c>
      <c r="M25" s="12">
        <v>4</v>
      </c>
      <c r="N25" s="12" t="s">
        <v>403</v>
      </c>
      <c r="O25" s="35">
        <v>62</v>
      </c>
      <c r="P25" s="12">
        <v>22.79</v>
      </c>
      <c r="Q25" s="236">
        <v>2.7204914093017578</v>
      </c>
      <c r="R25" s="226">
        <v>3.290916919708252</v>
      </c>
      <c r="S25" s="229">
        <v>3.5541903972625732</v>
      </c>
      <c r="T25" s="32">
        <v>245.5625</v>
      </c>
      <c r="U25" s="28">
        <v>10.775010536866311</v>
      </c>
      <c r="V25" s="30">
        <v>0.82666671276092529</v>
      </c>
      <c r="W25" s="12">
        <v>0</v>
      </c>
      <c r="X25" s="58">
        <v>45800</v>
      </c>
      <c r="Y25" s="12">
        <v>4</v>
      </c>
      <c r="Z25" s="12" t="s">
        <v>411</v>
      </c>
      <c r="AA25" s="35">
        <v>159</v>
      </c>
      <c r="AB25" s="12">
        <v>68.87</v>
      </c>
      <c r="AC25" s="235">
        <v>2.3086974620819092</v>
      </c>
      <c r="AD25" s="223">
        <v>2.7878611087799072</v>
      </c>
      <c r="AE25" s="222">
        <v>3.0056626796722412</v>
      </c>
      <c r="AF25" s="32">
        <v>677.375</v>
      </c>
      <c r="AG25" s="28">
        <v>9.835559358005364</v>
      </c>
      <c r="AH25" s="30">
        <v>0.828125</v>
      </c>
      <c r="AI25" s="12">
        <v>0</v>
      </c>
      <c r="AJ25" s="58">
        <v>45801</v>
      </c>
    </row>
    <row r="26" spans="1:36" x14ac:dyDescent="0.3">
      <c r="A26" s="12">
        <v>5</v>
      </c>
      <c r="B26" s="12" t="s">
        <v>400</v>
      </c>
      <c r="C26" s="35">
        <v>11</v>
      </c>
      <c r="D26" s="12">
        <v>4.5999999999999996</v>
      </c>
      <c r="E26" s="235">
        <v>2.3913044929504395</v>
      </c>
      <c r="F26" s="222">
        <v>3.04347825050354</v>
      </c>
      <c r="G26" s="228">
        <v>3.9130434989929199</v>
      </c>
      <c r="H26" s="32">
        <v>57.1875</v>
      </c>
      <c r="I26" s="28">
        <v>12.432065475133513</v>
      </c>
      <c r="J26" s="30">
        <v>0.78571432828903198</v>
      </c>
      <c r="K26" s="12">
        <v>0</v>
      </c>
      <c r="L26" s="58">
        <v>45807</v>
      </c>
      <c r="M26" s="12">
        <v>5</v>
      </c>
      <c r="N26" s="12" t="s">
        <v>392</v>
      </c>
      <c r="O26" s="35">
        <v>58</v>
      </c>
      <c r="P26" s="12">
        <v>35.15</v>
      </c>
      <c r="Q26" s="240">
        <v>1.6500710248947144</v>
      </c>
      <c r="R26" s="234">
        <v>2.0199146270751953</v>
      </c>
      <c r="S26" s="234">
        <v>2.2475106716156006</v>
      </c>
      <c r="T26" s="32">
        <v>377.375</v>
      </c>
      <c r="U26" s="28">
        <v>10.736130401649078</v>
      </c>
      <c r="V26" s="30">
        <v>0.81690138578414917</v>
      </c>
      <c r="W26" s="12">
        <v>0</v>
      </c>
      <c r="X26" s="58">
        <v>45804</v>
      </c>
      <c r="Y26" s="12">
        <v>5</v>
      </c>
      <c r="Z26" s="12" t="s">
        <v>521</v>
      </c>
      <c r="AA26" s="35">
        <v>167</v>
      </c>
      <c r="AB26" s="12">
        <v>70.5</v>
      </c>
      <c r="AC26" s="235">
        <v>2.3687944412231445</v>
      </c>
      <c r="AD26" s="223">
        <v>2.8794326782226563</v>
      </c>
      <c r="AE26" s="222">
        <v>3.0638298988342285</v>
      </c>
      <c r="AF26" s="32">
        <v>692.3125</v>
      </c>
      <c r="AG26" s="28">
        <v>9.8200354609929086</v>
      </c>
      <c r="AH26" s="30">
        <v>0.82266014814376831</v>
      </c>
      <c r="AI26" s="12">
        <v>0</v>
      </c>
      <c r="AJ26" s="58">
        <v>45783</v>
      </c>
    </row>
    <row r="27" spans="1:36" x14ac:dyDescent="0.3">
      <c r="A27" s="12">
        <v>6</v>
      </c>
      <c r="B27" s="12" t="s">
        <v>391</v>
      </c>
      <c r="C27" s="35">
        <v>20</v>
      </c>
      <c r="D27" s="12">
        <v>7.15</v>
      </c>
      <c r="E27" s="223">
        <v>2.7972028255462646</v>
      </c>
      <c r="F27" s="226">
        <v>3.3566431999206543</v>
      </c>
      <c r="G27" s="229">
        <v>3.6363635063171387</v>
      </c>
      <c r="H27" s="32">
        <v>87.6875</v>
      </c>
      <c r="I27" s="28">
        <v>12.263985850407716</v>
      </c>
      <c r="J27" s="30">
        <v>0.83333337306976318</v>
      </c>
      <c r="K27" s="12">
        <v>0</v>
      </c>
      <c r="L27" s="58">
        <v>45805</v>
      </c>
      <c r="M27" s="12">
        <v>6</v>
      </c>
      <c r="N27" s="12" t="s">
        <v>460</v>
      </c>
      <c r="O27" s="35">
        <v>63</v>
      </c>
      <c r="P27" s="12">
        <v>24.54</v>
      </c>
      <c r="Q27" s="236">
        <v>2.5672371387481689</v>
      </c>
      <c r="R27" s="229">
        <v>3.5859818458557129</v>
      </c>
      <c r="S27" s="228">
        <v>3.8304808139801025</v>
      </c>
      <c r="T27" s="32">
        <v>262.9375</v>
      </c>
      <c r="U27" s="28">
        <v>10.714649152014903</v>
      </c>
      <c r="V27" s="30">
        <v>0.71590912342071533</v>
      </c>
      <c r="W27" s="12">
        <v>0</v>
      </c>
      <c r="X27" s="58">
        <v>45800</v>
      </c>
      <c r="Y27" s="12">
        <v>6</v>
      </c>
      <c r="Z27" s="12" t="s">
        <v>435</v>
      </c>
      <c r="AA27" s="35">
        <v>184</v>
      </c>
      <c r="AB27" s="12">
        <v>75.14</v>
      </c>
      <c r="AC27" s="235">
        <v>2.4487624168395996</v>
      </c>
      <c r="AD27" s="223">
        <v>2.9012510776519775</v>
      </c>
      <c r="AE27" s="222">
        <v>3.0875699520111084</v>
      </c>
      <c r="AF27" s="32">
        <v>735.4375</v>
      </c>
      <c r="AG27" s="28">
        <v>9.7875632948343707</v>
      </c>
      <c r="AH27" s="30">
        <v>0.84403669834136963</v>
      </c>
      <c r="AI27" s="12">
        <v>0</v>
      </c>
      <c r="AJ27" s="58">
        <v>45801</v>
      </c>
    </row>
    <row r="28" spans="1:36" x14ac:dyDescent="0.3">
      <c r="A28" s="12">
        <v>7</v>
      </c>
      <c r="B28" s="12" t="s">
        <v>400</v>
      </c>
      <c r="C28" s="35">
        <v>19</v>
      </c>
      <c r="D28" s="12">
        <v>7.39</v>
      </c>
      <c r="E28" s="236">
        <v>2.5710420608520508</v>
      </c>
      <c r="F28" s="223">
        <v>2.9769959449768066</v>
      </c>
      <c r="G28" s="226">
        <v>3.3829500675201416</v>
      </c>
      <c r="H28" s="32">
        <v>87.5</v>
      </c>
      <c r="I28" s="28">
        <v>11.840324977111493</v>
      </c>
      <c r="J28" s="30">
        <v>0.86363637447357178</v>
      </c>
      <c r="K28" s="12">
        <v>0</v>
      </c>
      <c r="L28" s="58">
        <v>45810</v>
      </c>
      <c r="M28" s="12">
        <v>7</v>
      </c>
      <c r="N28" s="12" t="s">
        <v>406</v>
      </c>
      <c r="O28" s="35">
        <v>66</v>
      </c>
      <c r="P28" s="12">
        <v>24.99</v>
      </c>
      <c r="Q28" s="236">
        <v>2.6410565376281738</v>
      </c>
      <c r="R28" s="222">
        <v>3.1212484836578369</v>
      </c>
      <c r="S28" s="226">
        <v>3.4013605117797852</v>
      </c>
      <c r="T28" s="32">
        <v>267.375</v>
      </c>
      <c r="U28" s="28">
        <v>10.699279809878783</v>
      </c>
      <c r="V28" s="30">
        <v>0.84615391492843628</v>
      </c>
      <c r="W28" s="12">
        <v>0</v>
      </c>
      <c r="X28" s="58">
        <v>45805</v>
      </c>
      <c r="Y28" s="12">
        <v>7</v>
      </c>
      <c r="Z28" s="12" t="s">
        <v>393</v>
      </c>
      <c r="AA28" s="35">
        <v>186</v>
      </c>
      <c r="AB28" s="12">
        <v>72.97</v>
      </c>
      <c r="AC28" s="236">
        <v>2.5489926338195801</v>
      </c>
      <c r="AD28" s="223">
        <v>2.8778948783874512</v>
      </c>
      <c r="AE28" s="222">
        <v>3.0423460006713867</v>
      </c>
      <c r="AF28" s="32">
        <v>705.625</v>
      </c>
      <c r="AG28" s="28">
        <v>9.6700697299673237</v>
      </c>
      <c r="AH28" s="30">
        <v>0.88571429252624512</v>
      </c>
      <c r="AI28" s="12">
        <v>0</v>
      </c>
      <c r="AJ28" s="58">
        <v>45775</v>
      </c>
    </row>
    <row r="29" spans="1:36" x14ac:dyDescent="0.3">
      <c r="B29" s="12" t="s">
        <v>412</v>
      </c>
      <c r="C29" s="35">
        <v>16</v>
      </c>
      <c r="D29" s="12">
        <v>5.32</v>
      </c>
      <c r="E29" s="222">
        <v>3.0075187683105469</v>
      </c>
      <c r="F29" s="229">
        <v>3.5714285373687744</v>
      </c>
      <c r="G29" s="228">
        <v>3.7593984603881836</v>
      </c>
      <c r="H29" s="32">
        <v>62.6875</v>
      </c>
      <c r="I29" s="28">
        <v>11.783364281438244</v>
      </c>
      <c r="J29" s="30">
        <v>0.84210526943206787</v>
      </c>
      <c r="K29" s="12">
        <v>0</v>
      </c>
      <c r="L29" s="58">
        <v>45763</v>
      </c>
      <c r="N29" s="12" t="s">
        <v>467</v>
      </c>
      <c r="O29" s="35">
        <v>77</v>
      </c>
      <c r="P29" s="12">
        <v>26.06</v>
      </c>
      <c r="Q29" s="223">
        <v>2.9547200202941895</v>
      </c>
      <c r="R29" s="229">
        <v>3.5303146839141846</v>
      </c>
      <c r="S29" s="228">
        <v>3.8756716251373291</v>
      </c>
      <c r="T29" s="32">
        <v>278.6875</v>
      </c>
      <c r="U29" s="28">
        <v>10.694071592910605</v>
      </c>
      <c r="V29" s="30">
        <v>0.83695656061172485</v>
      </c>
      <c r="W29" s="12">
        <v>0</v>
      </c>
      <c r="X29" s="58">
        <v>45805</v>
      </c>
      <c r="Z29" s="12" t="s">
        <v>539</v>
      </c>
      <c r="AA29" s="35">
        <v>153</v>
      </c>
      <c r="AB29" s="12">
        <v>71.510000000000005</v>
      </c>
      <c r="AC29" s="234">
        <v>2.1395609378814697</v>
      </c>
      <c r="AD29" s="236">
        <v>2.7268912792205811</v>
      </c>
      <c r="AE29" s="223">
        <v>2.9086840152740479</v>
      </c>
      <c r="AF29" s="32">
        <v>690.75</v>
      </c>
      <c r="AG29" s="28">
        <v>9.6594878949113081</v>
      </c>
      <c r="AH29" s="30">
        <v>0.78461539745330811</v>
      </c>
      <c r="AI29" s="12">
        <v>0</v>
      </c>
      <c r="AJ29" s="58">
        <v>45806</v>
      </c>
    </row>
    <row r="30" spans="1:36" x14ac:dyDescent="0.3">
      <c r="B30" s="12" t="s">
        <v>395</v>
      </c>
      <c r="C30" s="35">
        <v>16</v>
      </c>
      <c r="D30" s="12">
        <v>7.61</v>
      </c>
      <c r="E30" s="234">
        <v>2.1024966239929199</v>
      </c>
      <c r="F30" s="222">
        <v>3.1537449359893799</v>
      </c>
      <c r="G30" s="228">
        <v>3.8107752799987793</v>
      </c>
      <c r="H30" s="32">
        <v>88.4375</v>
      </c>
      <c r="I30" s="28">
        <v>11.621221872325819</v>
      </c>
      <c r="J30" s="30">
        <v>0.66666668653488159</v>
      </c>
      <c r="K30" s="12">
        <v>0</v>
      </c>
      <c r="L30" s="58">
        <v>45763</v>
      </c>
      <c r="N30" s="12" t="s">
        <v>426</v>
      </c>
      <c r="O30" s="35">
        <v>49</v>
      </c>
      <c r="P30" s="12">
        <v>22.66</v>
      </c>
      <c r="Q30" s="234">
        <v>2.1624007225036621</v>
      </c>
      <c r="R30" s="222">
        <v>3.2215356826782227</v>
      </c>
      <c r="S30" s="229">
        <v>3.5304501056671143</v>
      </c>
      <c r="T30" s="32">
        <v>241.0625</v>
      </c>
      <c r="U30" s="28">
        <v>10.638239259632236</v>
      </c>
      <c r="V30" s="30">
        <v>0.67123287916183472</v>
      </c>
      <c r="W30" s="12">
        <v>0</v>
      </c>
      <c r="X30" s="58">
        <v>45767</v>
      </c>
      <c r="Z30" s="12" t="s">
        <v>560</v>
      </c>
      <c r="AA30" s="35">
        <v>167</v>
      </c>
      <c r="AB30" s="12">
        <v>77.760000000000005</v>
      </c>
      <c r="AC30" s="234">
        <v>2.1476337909698486</v>
      </c>
      <c r="AD30" s="223">
        <v>2.790637731552124</v>
      </c>
      <c r="AE30" s="222">
        <v>3.0735595226287842</v>
      </c>
      <c r="AF30" s="32">
        <v>749.3125</v>
      </c>
      <c r="AG30" s="28">
        <v>9.6362201570834998</v>
      </c>
      <c r="AH30" s="30">
        <v>0.76958531141281128</v>
      </c>
      <c r="AI30" s="12">
        <v>0</v>
      </c>
      <c r="AJ30" s="58">
        <v>45804</v>
      </c>
    </row>
    <row r="31" spans="1:36" x14ac:dyDescent="0.3">
      <c r="B31" s="12" t="s">
        <v>397</v>
      </c>
      <c r="C31" s="35">
        <v>13</v>
      </c>
      <c r="D31" s="12">
        <v>4.1399999999999997</v>
      </c>
      <c r="E31" s="222">
        <v>3.1400966644287109</v>
      </c>
      <c r="F31" s="222">
        <v>3.1400966644287109</v>
      </c>
      <c r="G31" s="226">
        <v>3.3816425800323486</v>
      </c>
      <c r="H31" s="32">
        <v>47.75</v>
      </c>
      <c r="I31" s="28">
        <v>11.533816797084706</v>
      </c>
      <c r="J31" s="30">
        <v>1</v>
      </c>
      <c r="K31" s="12">
        <v>0</v>
      </c>
      <c r="L31" s="58">
        <v>45808</v>
      </c>
      <c r="N31" s="12" t="s">
        <v>476</v>
      </c>
      <c r="O31" s="35">
        <v>61</v>
      </c>
      <c r="P31" s="12">
        <v>23.26</v>
      </c>
      <c r="Q31" s="236">
        <v>2.6225278377532959</v>
      </c>
      <c r="R31" s="229">
        <v>3.6543421745300293</v>
      </c>
      <c r="S31" s="228">
        <v>3.9982802867889404</v>
      </c>
      <c r="T31" s="32">
        <v>247</v>
      </c>
      <c r="U31" s="28">
        <v>10.61908845956507</v>
      </c>
      <c r="V31" s="30">
        <v>0.7176470160484314</v>
      </c>
      <c r="W31" s="12">
        <v>0</v>
      </c>
      <c r="X31" s="58">
        <v>45804</v>
      </c>
      <c r="Z31" s="12" t="s">
        <v>505</v>
      </c>
      <c r="AA31" s="35">
        <v>156</v>
      </c>
      <c r="AB31" s="12">
        <v>71.959999999999994</v>
      </c>
      <c r="AC31" s="234">
        <v>2.1678709983825684</v>
      </c>
      <c r="AD31" s="236">
        <v>2.5986659526824951</v>
      </c>
      <c r="AE31" s="223">
        <v>2.7515287399291992</v>
      </c>
      <c r="AF31" s="32">
        <v>693.25</v>
      </c>
      <c r="AG31" s="28">
        <v>9.6338244694278732</v>
      </c>
      <c r="AH31" s="30">
        <v>0.83422458171844482</v>
      </c>
      <c r="AI31" s="12">
        <v>0</v>
      </c>
      <c r="AJ31" s="58">
        <v>45775</v>
      </c>
    </row>
    <row r="32" spans="1:36" x14ac:dyDescent="0.3">
      <c r="A32" s="12">
        <v>1</v>
      </c>
      <c r="B32" s="12" t="s">
        <v>408</v>
      </c>
      <c r="C32" s="35">
        <v>15</v>
      </c>
      <c r="D32" s="12">
        <v>4.16</v>
      </c>
      <c r="E32" s="229">
        <v>3.6057693958282471</v>
      </c>
      <c r="F32" s="229">
        <v>3.6057693958282471</v>
      </c>
      <c r="G32" s="93">
        <v>4.0865387916564941</v>
      </c>
      <c r="H32" s="32">
        <v>42.125</v>
      </c>
      <c r="I32" s="28">
        <v>10.126202294503809</v>
      </c>
      <c r="J32" s="30">
        <v>1</v>
      </c>
      <c r="K32" s="12">
        <v>0</v>
      </c>
      <c r="L32" s="58">
        <v>45810</v>
      </c>
      <c r="M32" s="12">
        <v>1</v>
      </c>
      <c r="N32" s="12" t="s">
        <v>395</v>
      </c>
      <c r="O32" s="35">
        <v>59</v>
      </c>
      <c r="P32" s="12">
        <v>22.99</v>
      </c>
      <c r="Q32" s="236">
        <v>2.5663332939147949</v>
      </c>
      <c r="R32" s="236">
        <v>2.7403218746185303</v>
      </c>
      <c r="S32" s="223">
        <v>2.8708133697509766</v>
      </c>
      <c r="T32" s="32">
        <v>192.8125</v>
      </c>
      <c r="U32" s="28">
        <v>8.3867986915870318</v>
      </c>
      <c r="V32" s="30">
        <v>0.93650799989700317</v>
      </c>
      <c r="W32" s="12">
        <v>0</v>
      </c>
      <c r="X32" s="58">
        <v>45674</v>
      </c>
      <c r="Y32" s="12">
        <v>1</v>
      </c>
      <c r="Z32" s="12" t="s">
        <v>460</v>
      </c>
      <c r="AA32" s="35">
        <v>199</v>
      </c>
      <c r="AB32" s="12">
        <v>66.760000000000005</v>
      </c>
      <c r="AC32" s="223">
        <v>2.9808268547058105</v>
      </c>
      <c r="AD32" s="226">
        <v>3.2804074287414551</v>
      </c>
      <c r="AE32" s="226">
        <v>3.4451766014099121</v>
      </c>
      <c r="AF32" s="32">
        <v>600.8125</v>
      </c>
      <c r="AG32" s="28">
        <v>8.999587788717891</v>
      </c>
      <c r="AH32" s="30">
        <v>0.90867578983306885</v>
      </c>
      <c r="AI32" s="12">
        <v>0</v>
      </c>
      <c r="AJ32" s="58">
        <v>45779</v>
      </c>
    </row>
    <row r="33" spans="1:36" x14ac:dyDescent="0.3">
      <c r="A33" s="12">
        <v>2</v>
      </c>
      <c r="B33" s="12" t="s">
        <v>397</v>
      </c>
      <c r="C33" s="35">
        <v>21</v>
      </c>
      <c r="D33" s="12">
        <v>5.35</v>
      </c>
      <c r="E33" s="228">
        <v>3.9252336025238037</v>
      </c>
      <c r="F33" s="228">
        <v>3.9252336025238037</v>
      </c>
      <c r="G33" s="93">
        <v>4.112149715423584</v>
      </c>
      <c r="H33" s="32">
        <v>46.75</v>
      </c>
      <c r="I33" s="28">
        <v>8.7383179127758766</v>
      </c>
      <c r="J33" s="30">
        <v>1</v>
      </c>
      <c r="K33" s="12">
        <v>0</v>
      </c>
      <c r="L33" s="58">
        <v>45810</v>
      </c>
      <c r="M33" s="12">
        <v>2</v>
      </c>
      <c r="N33" s="12" t="s">
        <v>409</v>
      </c>
      <c r="O33" s="35">
        <v>53</v>
      </c>
      <c r="P33" s="12">
        <v>17.190000000000001</v>
      </c>
      <c r="Q33" s="222">
        <v>3.0831878185272217</v>
      </c>
      <c r="R33" s="226">
        <v>3.3158812522888184</v>
      </c>
      <c r="S33" s="229">
        <v>3.548574686050415</v>
      </c>
      <c r="T33" s="32">
        <v>161.75</v>
      </c>
      <c r="U33" s="28">
        <v>9.4095401381479586</v>
      </c>
      <c r="V33" s="30">
        <v>0.92982453107833862</v>
      </c>
      <c r="W33" s="12">
        <v>0</v>
      </c>
      <c r="X33" s="58">
        <v>45805</v>
      </c>
      <c r="Y33" s="12">
        <v>2</v>
      </c>
      <c r="Z33" s="12" t="s">
        <v>415</v>
      </c>
      <c r="AA33" s="35">
        <v>179</v>
      </c>
      <c r="AB33" s="12">
        <v>71.599999999999994</v>
      </c>
      <c r="AC33" s="236">
        <v>2.5</v>
      </c>
      <c r="AD33" s="223">
        <v>2.751396656036377</v>
      </c>
      <c r="AE33" s="223">
        <v>2.8212292194366455</v>
      </c>
      <c r="AF33" s="32">
        <v>519.375</v>
      </c>
      <c r="AG33" s="28">
        <v>7.2538409367106551</v>
      </c>
      <c r="AH33" s="30">
        <v>0.90862941741943359</v>
      </c>
      <c r="AI33" s="12">
        <v>0</v>
      </c>
      <c r="AJ33" s="58">
        <v>45675</v>
      </c>
    </row>
    <row r="34" spans="1:36" x14ac:dyDescent="0.3">
      <c r="A34" s="12">
        <v>3</v>
      </c>
      <c r="B34" s="12" t="s">
        <v>405</v>
      </c>
      <c r="C34" s="35">
        <v>11</v>
      </c>
      <c r="D34" s="12">
        <v>3.17</v>
      </c>
      <c r="E34" s="226">
        <v>3.4700314998626709</v>
      </c>
      <c r="F34" s="226">
        <v>3.4700314998626709</v>
      </c>
      <c r="G34" s="228">
        <v>3.7854888439178467</v>
      </c>
      <c r="H34" s="32">
        <v>35.25</v>
      </c>
      <c r="I34" s="28">
        <v>11.119873549407247</v>
      </c>
      <c r="J34" s="30">
        <v>1</v>
      </c>
      <c r="K34" s="12">
        <v>0</v>
      </c>
      <c r="L34" s="58">
        <v>45810</v>
      </c>
      <c r="M34" s="12">
        <v>3</v>
      </c>
      <c r="N34" s="12" t="s">
        <v>422</v>
      </c>
      <c r="O34" s="35">
        <v>86</v>
      </c>
      <c r="P34" s="12">
        <v>28.62</v>
      </c>
      <c r="Q34" s="222">
        <v>3.0048916339874268</v>
      </c>
      <c r="R34" s="222">
        <v>3.2494757175445557</v>
      </c>
      <c r="S34" s="229">
        <v>3.5290005207061768</v>
      </c>
      <c r="T34" s="32">
        <v>275.5</v>
      </c>
      <c r="U34" s="28">
        <v>9.6261352872615564</v>
      </c>
      <c r="V34" s="30">
        <v>0.92473119497299194</v>
      </c>
      <c r="W34" s="12">
        <v>0</v>
      </c>
      <c r="X34" s="58">
        <v>45793</v>
      </c>
      <c r="Y34" s="12">
        <v>3</v>
      </c>
      <c r="Z34" s="12" t="s">
        <v>556</v>
      </c>
      <c r="AA34" s="35">
        <v>230</v>
      </c>
      <c r="AB34" s="12">
        <v>88.29</v>
      </c>
      <c r="AC34" s="236">
        <v>2.6050515174865723</v>
      </c>
      <c r="AD34" s="223">
        <v>2.8768830299377441</v>
      </c>
      <c r="AE34" s="222">
        <v>3.0581040382385254</v>
      </c>
      <c r="AF34" s="32">
        <v>631.375</v>
      </c>
      <c r="AG34" s="28">
        <v>7.1511495464143966</v>
      </c>
      <c r="AH34" s="30">
        <v>0.90551179647445679</v>
      </c>
      <c r="AI34" s="12">
        <v>0</v>
      </c>
      <c r="AJ34" s="58">
        <v>45716</v>
      </c>
    </row>
    <row r="35" spans="1:36" x14ac:dyDescent="0.3">
      <c r="A35" s="12">
        <v>4</v>
      </c>
      <c r="B35" s="12" t="s">
        <v>408</v>
      </c>
      <c r="C35" s="35">
        <v>13</v>
      </c>
      <c r="D35" s="12">
        <v>3.34</v>
      </c>
      <c r="E35" s="228">
        <v>3.8922157287597656</v>
      </c>
      <c r="F35" s="228">
        <v>3.8922157287597656</v>
      </c>
      <c r="G35" s="93">
        <v>4.1916170120239258</v>
      </c>
      <c r="H35" s="32">
        <v>34</v>
      </c>
      <c r="I35" s="28">
        <v>10.179640980157364</v>
      </c>
      <c r="J35" s="30">
        <v>1</v>
      </c>
      <c r="K35" s="12">
        <v>0</v>
      </c>
      <c r="L35" s="58">
        <v>45810</v>
      </c>
      <c r="M35" s="12">
        <v>4</v>
      </c>
      <c r="N35" s="12" t="s">
        <v>444</v>
      </c>
      <c r="O35" s="35">
        <v>72</v>
      </c>
      <c r="P35" s="12">
        <v>26.22</v>
      </c>
      <c r="Q35" s="236">
        <v>2.7459955215454102</v>
      </c>
      <c r="R35" s="222">
        <v>3.0129673480987549</v>
      </c>
      <c r="S35" s="226">
        <v>3.3180778026580811</v>
      </c>
      <c r="T35" s="32">
        <v>205.75</v>
      </c>
      <c r="U35" s="28">
        <v>7.8470635159477844</v>
      </c>
      <c r="V35" s="30">
        <v>0.91139239072799683</v>
      </c>
      <c r="W35" s="12">
        <v>0</v>
      </c>
      <c r="X35" s="58">
        <v>45711</v>
      </c>
      <c r="Y35" s="12">
        <v>4</v>
      </c>
      <c r="Z35" s="12" t="s">
        <v>495</v>
      </c>
      <c r="AA35" s="35">
        <v>176</v>
      </c>
      <c r="AB35" s="12">
        <v>77.14</v>
      </c>
      <c r="AC35" s="235">
        <v>2.2815659046173096</v>
      </c>
      <c r="AD35" s="236">
        <v>2.540834903717041</v>
      </c>
      <c r="AE35" s="236">
        <v>2.6575057506561279</v>
      </c>
      <c r="AF35" s="32">
        <v>575.5625</v>
      </c>
      <c r="AG35" s="28">
        <v>7.4612717728026823</v>
      </c>
      <c r="AH35" s="30">
        <v>0.89795911312103271</v>
      </c>
      <c r="AI35" s="12">
        <v>0</v>
      </c>
      <c r="AJ35" s="58">
        <v>45674</v>
      </c>
    </row>
    <row r="36" spans="1:36" x14ac:dyDescent="0.3">
      <c r="A36" s="12">
        <v>5</v>
      </c>
      <c r="B36" s="12" t="s">
        <v>405</v>
      </c>
      <c r="C36" s="35">
        <v>17</v>
      </c>
      <c r="D36" s="12">
        <v>4.58</v>
      </c>
      <c r="E36" s="229">
        <v>3.7117905616760254</v>
      </c>
      <c r="F36" s="229">
        <v>3.7117905616760254</v>
      </c>
      <c r="G36" s="228">
        <v>3.9301309585571289</v>
      </c>
      <c r="H36" s="32">
        <v>44.1875</v>
      </c>
      <c r="I36" s="28">
        <v>9.6479259249079323</v>
      </c>
      <c r="J36" s="30">
        <v>1</v>
      </c>
      <c r="K36" s="12">
        <v>0</v>
      </c>
      <c r="L36" s="58">
        <v>45810</v>
      </c>
      <c r="M36" s="12">
        <v>5</v>
      </c>
      <c r="N36" s="12" t="s">
        <v>395</v>
      </c>
      <c r="O36" s="35">
        <v>40</v>
      </c>
      <c r="P36" s="12">
        <v>15.62</v>
      </c>
      <c r="Q36" s="236">
        <v>2.5608193874359131</v>
      </c>
      <c r="R36" s="223">
        <v>2.8169014453887939</v>
      </c>
      <c r="S36" s="222">
        <v>3.008962869644165</v>
      </c>
      <c r="T36" s="32">
        <v>130.0625</v>
      </c>
      <c r="U36" s="28">
        <v>8.3266645936562824</v>
      </c>
      <c r="V36" s="30">
        <v>0.90909087657928467</v>
      </c>
      <c r="W36" s="12">
        <v>0</v>
      </c>
      <c r="X36" s="58">
        <v>45766</v>
      </c>
      <c r="Y36" s="12">
        <v>5</v>
      </c>
      <c r="Z36" s="12" t="s">
        <v>470</v>
      </c>
      <c r="AA36" s="35">
        <v>193</v>
      </c>
      <c r="AB36" s="12">
        <v>82.24</v>
      </c>
      <c r="AC36" s="235">
        <v>2.3467898368835449</v>
      </c>
      <c r="AD36" s="236">
        <v>2.6142997741699219</v>
      </c>
      <c r="AE36" s="223">
        <v>2.7966926097869873</v>
      </c>
      <c r="AF36" s="32">
        <v>619.3125</v>
      </c>
      <c r="AG36" s="28">
        <v>7.5305510224585666</v>
      </c>
      <c r="AH36" s="30">
        <v>0.8976743221282959</v>
      </c>
      <c r="AI36" s="12">
        <v>0</v>
      </c>
      <c r="AJ36" s="58">
        <v>45731</v>
      </c>
    </row>
    <row r="37" spans="1:36" x14ac:dyDescent="0.3">
      <c r="A37" s="12">
        <v>6</v>
      </c>
      <c r="B37" s="12" t="s">
        <v>397</v>
      </c>
      <c r="C37" s="35">
        <v>13</v>
      </c>
      <c r="D37" s="12">
        <v>4.1399999999999997</v>
      </c>
      <c r="E37" s="222">
        <v>3.1400966644287109</v>
      </c>
      <c r="F37" s="222">
        <v>3.1400966644287109</v>
      </c>
      <c r="G37" s="226">
        <v>3.3816425800323486</v>
      </c>
      <c r="H37" s="32">
        <v>47.75</v>
      </c>
      <c r="I37" s="28">
        <v>11.533816797084706</v>
      </c>
      <c r="J37" s="30">
        <v>1</v>
      </c>
      <c r="K37" s="12">
        <v>0</v>
      </c>
      <c r="L37" s="58">
        <v>45808</v>
      </c>
      <c r="M37" s="12">
        <v>6</v>
      </c>
      <c r="N37" s="12" t="s">
        <v>423</v>
      </c>
      <c r="O37" s="35">
        <v>77</v>
      </c>
      <c r="P37" s="12">
        <v>24.86</v>
      </c>
      <c r="Q37" s="222">
        <v>3.0973451137542725</v>
      </c>
      <c r="R37" s="226">
        <v>3.419147253036499</v>
      </c>
      <c r="S37" s="229">
        <v>3.7409491539001465</v>
      </c>
      <c r="T37" s="32">
        <v>229.3125</v>
      </c>
      <c r="U37" s="28">
        <v>9.2241550430419377</v>
      </c>
      <c r="V37" s="30">
        <v>0.90588235855102539</v>
      </c>
      <c r="W37" s="12">
        <v>0</v>
      </c>
      <c r="X37" s="58">
        <v>45764</v>
      </c>
      <c r="Y37" s="12">
        <v>6</v>
      </c>
      <c r="Z37" s="12" t="s">
        <v>481</v>
      </c>
      <c r="AA37" s="35">
        <v>176</v>
      </c>
      <c r="AB37" s="12">
        <v>68.63</v>
      </c>
      <c r="AC37" s="236">
        <v>2.5644762516021729</v>
      </c>
      <c r="AD37" s="223">
        <v>2.8704650402069092</v>
      </c>
      <c r="AE37" s="222">
        <v>3.0453155040740967</v>
      </c>
      <c r="AF37" s="32">
        <v>542.75</v>
      </c>
      <c r="AG37" s="28">
        <v>7.9083494349545456</v>
      </c>
      <c r="AH37" s="30">
        <v>0.89340096712112427</v>
      </c>
      <c r="AI37" s="12">
        <v>0</v>
      </c>
      <c r="AJ37" s="58">
        <v>45742</v>
      </c>
    </row>
    <row r="38" spans="1:36" x14ac:dyDescent="0.3">
      <c r="A38" s="12">
        <v>7</v>
      </c>
      <c r="B38" s="12" t="s">
        <v>397</v>
      </c>
      <c r="C38" s="35">
        <v>13</v>
      </c>
      <c r="D38" s="12">
        <v>3.33</v>
      </c>
      <c r="E38" s="228">
        <v>3.9039039611816406</v>
      </c>
      <c r="F38" s="228">
        <v>3.9039039611816406</v>
      </c>
      <c r="G38" s="93">
        <v>4.2042040824890137</v>
      </c>
      <c r="H38" s="32">
        <v>34.4375</v>
      </c>
      <c r="I38" s="28">
        <v>10.341591828528781</v>
      </c>
      <c r="J38" s="30">
        <v>1</v>
      </c>
      <c r="K38" s="12">
        <v>0</v>
      </c>
      <c r="L38" s="58">
        <v>45807</v>
      </c>
      <c r="M38" s="12">
        <v>7</v>
      </c>
      <c r="N38" s="12" t="s">
        <v>511</v>
      </c>
      <c r="O38" s="35">
        <v>67</v>
      </c>
      <c r="P38" s="12">
        <v>24.82</v>
      </c>
      <c r="Q38" s="236">
        <v>2.6994359493255615</v>
      </c>
      <c r="R38" s="223">
        <v>2.98146653175354</v>
      </c>
      <c r="S38" s="226">
        <v>3.3037872314453125</v>
      </c>
      <c r="T38" s="32">
        <v>216.4375</v>
      </c>
      <c r="U38" s="28">
        <v>8.7202861668501264</v>
      </c>
      <c r="V38" s="30">
        <v>0.90540540218353271</v>
      </c>
      <c r="W38" s="12">
        <v>0</v>
      </c>
      <c r="X38" s="58">
        <v>45764</v>
      </c>
      <c r="Y38" s="12">
        <v>7</v>
      </c>
      <c r="Z38" s="12" t="s">
        <v>434</v>
      </c>
      <c r="AA38" s="35">
        <v>182</v>
      </c>
      <c r="AB38" s="12">
        <v>75.72</v>
      </c>
      <c r="AC38" s="235">
        <v>2.4035921096801758</v>
      </c>
      <c r="AD38" s="236">
        <v>2.6941361427307129</v>
      </c>
      <c r="AE38" s="223">
        <v>2.7997887134552002</v>
      </c>
      <c r="AF38" s="32">
        <v>472.5</v>
      </c>
      <c r="AG38" s="28">
        <v>6.2400949865649302</v>
      </c>
      <c r="AH38" s="30">
        <v>0.89215689897537231</v>
      </c>
      <c r="AI38" s="12">
        <v>0</v>
      </c>
      <c r="AJ38" s="58">
        <v>45761</v>
      </c>
    </row>
    <row r="39" spans="1:36" x14ac:dyDescent="0.3">
      <c r="B39" s="12" t="s">
        <v>397</v>
      </c>
      <c r="C39" s="35">
        <v>24</v>
      </c>
      <c r="D39" s="12">
        <v>6.19</v>
      </c>
      <c r="E39" s="228">
        <v>3.8772213459014893</v>
      </c>
      <c r="F39" s="228">
        <v>3.8772213459014893</v>
      </c>
      <c r="G39" s="93">
        <v>4.2003231048583984</v>
      </c>
      <c r="H39" s="32">
        <v>50</v>
      </c>
      <c r="I39" s="28">
        <v>8.0775443518253969</v>
      </c>
      <c r="J39" s="30">
        <v>1</v>
      </c>
      <c r="K39" s="12">
        <v>0</v>
      </c>
      <c r="L39" s="58">
        <v>45805</v>
      </c>
      <c r="N39" s="12" t="s">
        <v>474</v>
      </c>
      <c r="O39" s="35">
        <v>67</v>
      </c>
      <c r="P39" s="12">
        <v>25.73</v>
      </c>
      <c r="Q39" s="236">
        <v>2.6039643287658691</v>
      </c>
      <c r="R39" s="223">
        <v>2.8760201930999756</v>
      </c>
      <c r="S39" s="226">
        <v>3.4589972496032715</v>
      </c>
      <c r="T39" s="32">
        <v>181.5</v>
      </c>
      <c r="U39" s="28">
        <v>7.0540226672784812</v>
      </c>
      <c r="V39" s="30">
        <v>0.90540546178817749</v>
      </c>
      <c r="W39" s="12">
        <v>0</v>
      </c>
      <c r="X39" s="58">
        <v>45711</v>
      </c>
      <c r="Z39" s="12" t="s">
        <v>544</v>
      </c>
      <c r="AA39" s="35">
        <v>190</v>
      </c>
      <c r="AB39" s="12">
        <v>76.41</v>
      </c>
      <c r="AC39" s="235">
        <v>2.4865853786468506</v>
      </c>
      <c r="AD39" s="223">
        <v>2.7875931262969971</v>
      </c>
      <c r="AE39" s="223">
        <v>2.9839024543762207</v>
      </c>
      <c r="AF39" s="32">
        <v>647.0625</v>
      </c>
      <c r="AG39" s="28">
        <v>8.4682956286896367</v>
      </c>
      <c r="AH39" s="30">
        <v>0.89201879501342773</v>
      </c>
      <c r="AI39" s="12">
        <v>0</v>
      </c>
      <c r="AJ39" s="58">
        <v>45708</v>
      </c>
    </row>
    <row r="40" spans="1:36" x14ac:dyDescent="0.3">
      <c r="B40" s="12" t="s">
        <v>408</v>
      </c>
      <c r="C40" s="35">
        <v>25</v>
      </c>
      <c r="D40" s="12">
        <v>7.48</v>
      </c>
      <c r="E40" s="226">
        <v>3.3422460556030273</v>
      </c>
      <c r="F40" s="226">
        <v>3.3422460556030273</v>
      </c>
      <c r="G40" s="228">
        <v>3.8770053386688232</v>
      </c>
      <c r="H40" s="32">
        <v>62</v>
      </c>
      <c r="I40" s="28">
        <v>8.2887700323401408</v>
      </c>
      <c r="J40" s="30">
        <v>1</v>
      </c>
      <c r="K40" s="12">
        <v>0</v>
      </c>
      <c r="L40" s="58">
        <v>45805</v>
      </c>
      <c r="N40" s="12" t="s">
        <v>422</v>
      </c>
      <c r="O40" s="35">
        <v>57</v>
      </c>
      <c r="P40" s="12">
        <v>19.850000000000001</v>
      </c>
      <c r="Q40" s="223">
        <v>2.8715364933013916</v>
      </c>
      <c r="R40" s="222">
        <v>3.1738035678863525</v>
      </c>
      <c r="S40" s="226">
        <v>3.4760704040527344</v>
      </c>
      <c r="T40" s="32">
        <v>172.1875</v>
      </c>
      <c r="U40" s="28">
        <v>8.6744330826683314</v>
      </c>
      <c r="V40" s="30">
        <v>0.9047619104385376</v>
      </c>
      <c r="W40" s="12">
        <v>0</v>
      </c>
      <c r="X40" s="58">
        <v>45763</v>
      </c>
      <c r="Z40" s="12" t="s">
        <v>515</v>
      </c>
      <c r="AA40" s="35">
        <v>189</v>
      </c>
      <c r="AB40" s="12">
        <v>77.33</v>
      </c>
      <c r="AC40" s="235">
        <v>2.4440708160400391</v>
      </c>
      <c r="AD40" s="236">
        <v>2.7414975166320801</v>
      </c>
      <c r="AE40" s="223">
        <v>2.9354712963104248</v>
      </c>
      <c r="AF40" s="32">
        <v>618.5625</v>
      </c>
      <c r="AG40" s="28">
        <v>7.9989976122254998</v>
      </c>
      <c r="AH40" s="30">
        <v>0.89150941371917725</v>
      </c>
      <c r="AI40" s="12">
        <v>0</v>
      </c>
      <c r="AJ40" s="58">
        <v>45770</v>
      </c>
    </row>
    <row r="41" spans="1:36" x14ac:dyDescent="0.3">
      <c r="B41" s="12" t="s">
        <v>408</v>
      </c>
      <c r="C41" s="35">
        <v>17</v>
      </c>
      <c r="D41" s="12">
        <v>5.2</v>
      </c>
      <c r="E41" s="226">
        <v>3.269230842590332</v>
      </c>
      <c r="F41" s="226">
        <v>3.269230842590332</v>
      </c>
      <c r="G41" s="229">
        <v>3.653846263885498</v>
      </c>
      <c r="H41" s="32">
        <v>49.9375</v>
      </c>
      <c r="I41" s="28">
        <v>9.60336573686474</v>
      </c>
      <c r="J41" s="30">
        <v>1</v>
      </c>
      <c r="K41" s="12">
        <v>0</v>
      </c>
      <c r="L41" s="58">
        <v>45805</v>
      </c>
      <c r="N41" s="12" t="s">
        <v>425</v>
      </c>
      <c r="O41" s="35">
        <v>55</v>
      </c>
      <c r="P41" s="12">
        <v>18.420000000000002</v>
      </c>
      <c r="Q41" s="223">
        <v>2.9858849048614502</v>
      </c>
      <c r="R41" s="226">
        <v>3.3116178512573242</v>
      </c>
      <c r="S41" s="226">
        <v>3.3659067153930664</v>
      </c>
      <c r="T41" s="32">
        <v>160</v>
      </c>
      <c r="U41" s="28">
        <v>8.6862106046305492</v>
      </c>
      <c r="V41" s="30">
        <v>0.90163934230804443</v>
      </c>
      <c r="W41" s="12">
        <v>0</v>
      </c>
      <c r="X41" s="58">
        <v>45755</v>
      </c>
      <c r="Z41" s="12" t="s">
        <v>487</v>
      </c>
      <c r="AA41" s="35">
        <v>206</v>
      </c>
      <c r="AB41" s="12">
        <v>75.819999999999993</v>
      </c>
      <c r="AC41" s="236">
        <v>2.716961145401001</v>
      </c>
      <c r="AD41" s="222">
        <v>3.0598785877227783</v>
      </c>
      <c r="AE41" s="222">
        <v>3.231337308883667</v>
      </c>
      <c r="AF41" s="32">
        <v>625.9375</v>
      </c>
      <c r="AG41" s="28">
        <v>8.255572441564242</v>
      </c>
      <c r="AH41" s="30">
        <v>0.88793104887008667</v>
      </c>
      <c r="AI41" s="12">
        <v>0</v>
      </c>
      <c r="AJ41" s="58">
        <v>45755</v>
      </c>
    </row>
  </sheetData>
  <phoneticPr fontId="1" type="noConversion"/>
  <conditionalFormatting sqref="L1:L1048576 X1:X1048576 AJ1:AJ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D1048576 AF1:AJ1048576 T1:AB1048576 H1:P1048576">
    <cfRule type="expression" dxfId="12" priority="6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0"/>
  </sheetPr>
  <dimension ref="A1:AM41"/>
  <sheetViews>
    <sheetView topLeftCell="D1" workbookViewId="0">
      <pane ySplit="1" topLeftCell="A2" activePane="bottomLeft" state="frozen"/>
      <selection activeCell="E1" sqref="E1"/>
      <selection pane="bottomLeft" activeCell="M1" sqref="M1"/>
    </sheetView>
  </sheetViews>
  <sheetFormatPr defaultColWidth="5.15234375" defaultRowHeight="12.9" x14ac:dyDescent="0.3"/>
  <cols>
    <col min="1" max="1" width="2.07421875" style="12" bestFit="1" customWidth="1"/>
    <col min="2" max="2" width="6.3828125" style="12" bestFit="1" customWidth="1"/>
    <col min="3" max="3" width="2.921875" style="2" bestFit="1" customWidth="1"/>
    <col min="4" max="4" width="3.4609375" style="97" bestFit="1" customWidth="1"/>
    <col min="5" max="5" width="2.69140625" style="97" bestFit="1" customWidth="1"/>
    <col min="6" max="6" width="5.69140625" style="12" bestFit="1" customWidth="1"/>
    <col min="7" max="8" width="5.84375" style="30" bestFit="1" customWidth="1"/>
    <col min="9" max="9" width="4.921875" style="32" bestFit="1" customWidth="1"/>
    <col min="10" max="10" width="5.84375" style="28" bestFit="1" customWidth="1"/>
    <col min="11" max="11" width="5.84375" style="30" bestFit="1" customWidth="1"/>
    <col min="12" max="12" width="5.61328125" style="3" bestFit="1" customWidth="1"/>
    <col min="13" max="13" width="6.765625" style="58" bestFit="1" customWidth="1"/>
    <col min="14" max="14" width="2.07421875" style="12" bestFit="1" customWidth="1"/>
    <col min="15" max="15" width="8.23046875" style="12" bestFit="1" customWidth="1"/>
    <col min="16" max="16" width="3.84375" style="2" bestFit="1" customWidth="1"/>
    <col min="17" max="17" width="4.23046875" style="97" bestFit="1" customWidth="1"/>
    <col min="18" max="18" width="2.69140625" style="97" bestFit="1" customWidth="1"/>
    <col min="19" max="19" width="5.69140625" style="12" bestFit="1" customWidth="1"/>
    <col min="20" max="21" width="5.84375" style="30" bestFit="1" customWidth="1"/>
    <col min="22" max="22" width="5.84375" style="32" bestFit="1" customWidth="1"/>
    <col min="23" max="23" width="5.84375" style="28" bestFit="1" customWidth="1"/>
    <col min="24" max="24" width="5.84375" style="30" bestFit="1" customWidth="1"/>
    <col min="25" max="25" width="5.61328125" style="3" bestFit="1" customWidth="1"/>
    <col min="26" max="26" width="6.765625" style="58" bestFit="1" customWidth="1"/>
    <col min="27" max="27" width="2.07421875" style="12" bestFit="1" customWidth="1"/>
    <col min="28" max="28" width="8.23046875" style="12" bestFit="1" customWidth="1"/>
    <col min="29" max="29" width="3.84375" style="2" bestFit="1" customWidth="1"/>
    <col min="30" max="30" width="4.23046875" style="97" bestFit="1" customWidth="1"/>
    <col min="31" max="31" width="2.69140625" style="97" bestFit="1" customWidth="1"/>
    <col min="32" max="32" width="5.69140625" style="12" bestFit="1" customWidth="1"/>
    <col min="33" max="34" width="5.84375" style="30" bestFit="1" customWidth="1"/>
    <col min="35" max="35" width="5.84375" style="32" bestFit="1" customWidth="1"/>
    <col min="36" max="36" width="5.84375" style="28" bestFit="1" customWidth="1"/>
    <col min="37" max="37" width="5.84375" style="30" bestFit="1" customWidth="1"/>
    <col min="38" max="38" width="5.61328125" style="3" bestFit="1" customWidth="1"/>
    <col min="39" max="39" width="6.765625" style="58" bestFit="1" customWidth="1"/>
    <col min="40" max="16384" width="5.15234375" style="6"/>
  </cols>
  <sheetData>
    <row r="1" spans="1:39" x14ac:dyDescent="0.3">
      <c r="A1" s="14" t="s">
        <v>58</v>
      </c>
      <c r="B1" s="14" t="s">
        <v>148</v>
      </c>
      <c r="C1" s="2" t="s">
        <v>50</v>
      </c>
      <c r="D1" s="91" t="s">
        <v>51</v>
      </c>
      <c r="E1" s="91" t="s">
        <v>294</v>
      </c>
      <c r="F1" s="14" t="s">
        <v>4</v>
      </c>
      <c r="G1" s="93" t="s">
        <v>0</v>
      </c>
      <c r="H1" s="93" t="s">
        <v>59</v>
      </c>
      <c r="I1" s="94" t="s">
        <v>6</v>
      </c>
      <c r="J1" s="114" t="s">
        <v>153</v>
      </c>
      <c r="K1" s="93" t="s">
        <v>13</v>
      </c>
      <c r="L1" s="95" t="s">
        <v>14</v>
      </c>
      <c r="M1" s="96" t="s">
        <v>111</v>
      </c>
      <c r="N1" s="14" t="s">
        <v>58</v>
      </c>
      <c r="O1" s="14" t="s">
        <v>148</v>
      </c>
      <c r="P1" s="2" t="s">
        <v>50</v>
      </c>
      <c r="Q1" s="91" t="s">
        <v>51</v>
      </c>
      <c r="R1" s="91" t="s">
        <v>294</v>
      </c>
      <c r="S1" s="14" t="s">
        <v>4</v>
      </c>
      <c r="T1" s="93" t="s">
        <v>0</v>
      </c>
      <c r="U1" s="93" t="s">
        <v>59</v>
      </c>
      <c r="V1" s="94" t="s">
        <v>6</v>
      </c>
      <c r="W1" s="114" t="s">
        <v>153</v>
      </c>
      <c r="X1" s="93" t="s">
        <v>2</v>
      </c>
      <c r="Y1" s="95" t="s">
        <v>3</v>
      </c>
      <c r="Z1" s="96" t="s">
        <v>111</v>
      </c>
      <c r="AA1" s="14" t="s">
        <v>58</v>
      </c>
      <c r="AB1" s="14" t="s">
        <v>148</v>
      </c>
      <c r="AC1" s="2" t="s">
        <v>50</v>
      </c>
      <c r="AD1" s="91" t="s">
        <v>51</v>
      </c>
      <c r="AE1" s="91" t="s">
        <v>294</v>
      </c>
      <c r="AF1" s="14" t="s">
        <v>4</v>
      </c>
      <c r="AG1" s="93" t="s">
        <v>0</v>
      </c>
      <c r="AH1" s="93" t="s">
        <v>59</v>
      </c>
      <c r="AI1" s="94" t="s">
        <v>6</v>
      </c>
      <c r="AJ1" s="114" t="s">
        <v>153</v>
      </c>
      <c r="AK1" s="93" t="s">
        <v>2</v>
      </c>
      <c r="AL1" s="95" t="s">
        <v>3</v>
      </c>
      <c r="AM1" s="96" t="s">
        <v>111</v>
      </c>
    </row>
    <row r="2" spans="1:39" x14ac:dyDescent="0.3">
      <c r="A2" s="12">
        <v>1</v>
      </c>
      <c r="B2" s="12" t="s">
        <v>405</v>
      </c>
      <c r="C2" s="2">
        <v>4</v>
      </c>
      <c r="D2" s="97">
        <v>4</v>
      </c>
      <c r="E2" s="97">
        <v>0</v>
      </c>
      <c r="F2" s="12">
        <v>2.9</v>
      </c>
      <c r="G2" s="30">
        <v>1.3793102502822876</v>
      </c>
      <c r="H2" s="30">
        <v>0.66666662693023682</v>
      </c>
      <c r="I2" s="32">
        <v>35.875</v>
      </c>
      <c r="J2" s="28">
        <v>12.370689248358323</v>
      </c>
      <c r="K2" s="30">
        <v>0.66666662693023682</v>
      </c>
      <c r="L2" s="3">
        <v>1</v>
      </c>
      <c r="M2" s="58">
        <v>45720</v>
      </c>
      <c r="N2" s="12">
        <v>1</v>
      </c>
      <c r="O2" s="12" t="s">
        <v>417</v>
      </c>
      <c r="P2" s="2">
        <v>31</v>
      </c>
      <c r="Q2" s="97">
        <v>39</v>
      </c>
      <c r="R2" s="97">
        <v>0</v>
      </c>
      <c r="S2" s="12">
        <v>20.85</v>
      </c>
      <c r="T2" s="30">
        <v>1.486810564994812</v>
      </c>
      <c r="U2" s="30">
        <v>0.73809522390365601</v>
      </c>
      <c r="V2" s="32">
        <v>164.375</v>
      </c>
      <c r="W2" s="28">
        <v>7.8836929013242125</v>
      </c>
      <c r="X2" s="30">
        <v>0.92857134342193604</v>
      </c>
      <c r="Y2" s="3">
        <v>0.79487180709838867</v>
      </c>
      <c r="Z2" s="58">
        <v>45742</v>
      </c>
      <c r="AA2" s="12">
        <v>1</v>
      </c>
      <c r="AB2" s="12" t="s">
        <v>458</v>
      </c>
      <c r="AC2" s="2">
        <v>128</v>
      </c>
      <c r="AD2" s="97">
        <v>156</v>
      </c>
      <c r="AE2" s="97">
        <v>0</v>
      </c>
      <c r="AF2" s="12">
        <v>63.26</v>
      </c>
      <c r="AG2" s="30">
        <v>2.0233955383300781</v>
      </c>
      <c r="AH2" s="30">
        <v>0.76646703481674194</v>
      </c>
      <c r="AI2" s="32">
        <v>505.3125</v>
      </c>
      <c r="AJ2" s="28">
        <v>7.9878677427658991</v>
      </c>
      <c r="AK2" s="30">
        <v>0.93413174152374268</v>
      </c>
      <c r="AL2" s="3">
        <v>0.82051277160644531</v>
      </c>
      <c r="AM2" s="58">
        <v>45772</v>
      </c>
    </row>
    <row r="3" spans="1:39" x14ac:dyDescent="0.3">
      <c r="A3" s="12">
        <v>2</v>
      </c>
      <c r="B3" s="12" t="s">
        <v>397</v>
      </c>
      <c r="C3" s="2">
        <v>5</v>
      </c>
      <c r="D3" s="97">
        <v>5</v>
      </c>
      <c r="E3" s="97">
        <v>0</v>
      </c>
      <c r="F3" s="12">
        <v>2.38</v>
      </c>
      <c r="G3" s="30">
        <v>2.1008403301239014</v>
      </c>
      <c r="H3" s="30">
        <v>0.83333337306976318</v>
      </c>
      <c r="I3" s="32">
        <v>25.25</v>
      </c>
      <c r="J3" s="28">
        <v>10.609243187339693</v>
      </c>
      <c r="K3" s="30">
        <v>0.83333337306976318</v>
      </c>
      <c r="L3" s="3">
        <v>1</v>
      </c>
      <c r="M3" s="58">
        <v>45765</v>
      </c>
      <c r="N3" s="12">
        <v>2</v>
      </c>
      <c r="O3" s="12" t="s">
        <v>395</v>
      </c>
      <c r="P3" s="2">
        <v>40</v>
      </c>
      <c r="Q3" s="97">
        <v>44</v>
      </c>
      <c r="R3" s="97">
        <v>0</v>
      </c>
      <c r="S3" s="12">
        <v>15.62</v>
      </c>
      <c r="T3" s="30">
        <v>2.5608193874359131</v>
      </c>
      <c r="U3" s="30">
        <v>0.85106378793716431</v>
      </c>
      <c r="V3" s="32">
        <v>130.0625</v>
      </c>
      <c r="W3" s="28">
        <v>8.3266645936562824</v>
      </c>
      <c r="X3" s="30">
        <v>0.93617022037506104</v>
      </c>
      <c r="Y3" s="3">
        <v>0.90909087657928467</v>
      </c>
      <c r="Z3" s="58">
        <v>45766</v>
      </c>
      <c r="AA3" s="12">
        <v>2</v>
      </c>
      <c r="AB3" s="12" t="s">
        <v>404</v>
      </c>
      <c r="AC3" s="2">
        <v>123</v>
      </c>
      <c r="AD3" s="97">
        <v>157</v>
      </c>
      <c r="AE3" s="97">
        <v>0</v>
      </c>
      <c r="AF3" s="12">
        <v>58.97</v>
      </c>
      <c r="AG3" s="30">
        <v>2.0858063697814941</v>
      </c>
      <c r="AH3" s="30">
        <v>0.7321428656578064</v>
      </c>
      <c r="AI3" s="32">
        <v>516.6875</v>
      </c>
      <c r="AJ3" s="28">
        <v>8.761870261223633</v>
      </c>
      <c r="AK3" s="30">
        <v>0.93452376127243042</v>
      </c>
      <c r="AL3" s="3">
        <v>0.7834395170211792</v>
      </c>
      <c r="AM3" s="58">
        <v>45775</v>
      </c>
    </row>
    <row r="4" spans="1:39" x14ac:dyDescent="0.3">
      <c r="A4" s="12">
        <v>3</v>
      </c>
      <c r="B4" s="12" t="s">
        <v>496</v>
      </c>
      <c r="C4" s="2">
        <v>5</v>
      </c>
      <c r="D4" s="97">
        <v>5</v>
      </c>
      <c r="E4" s="97">
        <v>0</v>
      </c>
      <c r="F4" s="12">
        <v>1.84</v>
      </c>
      <c r="G4" s="30">
        <v>2.7173912525177002</v>
      </c>
      <c r="H4" s="30">
        <v>0.83333331346511841</v>
      </c>
      <c r="I4" s="32">
        <v>26</v>
      </c>
      <c r="J4" s="28">
        <v>14.130434526274925</v>
      </c>
      <c r="K4" s="30">
        <v>0.83333331346511841</v>
      </c>
      <c r="L4" s="3">
        <v>1</v>
      </c>
      <c r="M4" s="58">
        <v>45762</v>
      </c>
      <c r="N4" s="12">
        <v>3</v>
      </c>
      <c r="O4" s="12" t="s">
        <v>398</v>
      </c>
      <c r="P4" s="2">
        <v>35</v>
      </c>
      <c r="Q4" s="97">
        <v>46</v>
      </c>
      <c r="R4" s="97">
        <v>0</v>
      </c>
      <c r="S4" s="12">
        <v>16.43</v>
      </c>
      <c r="T4" s="30">
        <v>2.1302495002746582</v>
      </c>
      <c r="U4" s="30">
        <v>0.64814811944961548</v>
      </c>
      <c r="V4" s="32">
        <v>136.25</v>
      </c>
      <c r="W4" s="28">
        <v>8.2927569975198665</v>
      </c>
      <c r="X4" s="30">
        <v>0.85185188055038452</v>
      </c>
      <c r="Y4" s="3">
        <v>0.76086956262588501</v>
      </c>
      <c r="Z4" s="58">
        <v>45712</v>
      </c>
      <c r="AA4" s="12">
        <v>3</v>
      </c>
      <c r="AB4" s="12" t="s">
        <v>524</v>
      </c>
      <c r="AC4" s="2">
        <v>139</v>
      </c>
      <c r="AD4" s="97">
        <v>159</v>
      </c>
      <c r="AE4" s="97">
        <v>0</v>
      </c>
      <c r="AF4" s="12">
        <v>66.849999999999994</v>
      </c>
      <c r="AG4" s="30">
        <v>2.0792820453643799</v>
      </c>
      <c r="AH4" s="30">
        <v>0.83233535289764404</v>
      </c>
      <c r="AI4" s="32">
        <v>497.6875</v>
      </c>
      <c r="AJ4" s="28">
        <v>7.4448393621529299</v>
      </c>
      <c r="AK4" s="30">
        <v>0.95209580659866333</v>
      </c>
      <c r="AL4" s="3">
        <v>0.87421387434005737</v>
      </c>
      <c r="AM4" s="58">
        <v>45722</v>
      </c>
    </row>
    <row r="5" spans="1:39" x14ac:dyDescent="0.3">
      <c r="B5" s="12" t="s">
        <v>405</v>
      </c>
      <c r="C5" s="2">
        <v>5</v>
      </c>
      <c r="D5" s="97">
        <v>5</v>
      </c>
      <c r="E5" s="97">
        <v>0</v>
      </c>
      <c r="F5" s="12">
        <v>1.98</v>
      </c>
      <c r="G5" s="30">
        <v>2.5252525806427002</v>
      </c>
      <c r="H5" s="30">
        <v>0.71428573131561279</v>
      </c>
      <c r="I5" s="32">
        <v>20.5625</v>
      </c>
      <c r="J5" s="28">
        <v>10.385100910060565</v>
      </c>
      <c r="K5" s="30">
        <v>0.71428573131561279</v>
      </c>
      <c r="L5" s="3">
        <v>1</v>
      </c>
      <c r="M5" s="58">
        <v>45721</v>
      </c>
      <c r="O5" s="12" t="s">
        <v>403</v>
      </c>
      <c r="P5" s="2">
        <v>38</v>
      </c>
      <c r="Q5" s="97">
        <v>49</v>
      </c>
      <c r="R5" s="97">
        <v>0</v>
      </c>
      <c r="S5" s="12">
        <v>16.78</v>
      </c>
      <c r="T5" s="30">
        <v>2.2646005153656006</v>
      </c>
      <c r="U5" s="30">
        <v>0.69090908765792847</v>
      </c>
      <c r="V5" s="32">
        <v>185.9375</v>
      </c>
      <c r="W5" s="28">
        <v>11.080899427374861</v>
      </c>
      <c r="X5" s="30">
        <v>0.89090907573699951</v>
      </c>
      <c r="Y5" s="3">
        <v>0.77551019191741943</v>
      </c>
      <c r="Z5" s="58">
        <v>45776</v>
      </c>
      <c r="AB5" s="12" t="s">
        <v>407</v>
      </c>
      <c r="AC5" s="2">
        <v>128</v>
      </c>
      <c r="AD5" s="97">
        <v>165</v>
      </c>
      <c r="AE5" s="97">
        <v>0</v>
      </c>
      <c r="AF5" s="12">
        <v>59.12</v>
      </c>
      <c r="AG5" s="30">
        <v>2.1650879383087158</v>
      </c>
      <c r="AH5" s="30">
        <v>0.72727274894714355</v>
      </c>
      <c r="AI5" s="32">
        <v>439.6875</v>
      </c>
      <c r="AJ5" s="28">
        <v>7.4372041262481572</v>
      </c>
      <c r="AK5" s="30">
        <v>0.93750005960464478</v>
      </c>
      <c r="AL5" s="3">
        <v>0.7757575511932373</v>
      </c>
      <c r="AM5" s="58">
        <v>45750</v>
      </c>
    </row>
    <row r="6" spans="1:39" x14ac:dyDescent="0.3">
      <c r="B6" s="12" t="s">
        <v>433</v>
      </c>
      <c r="C6" s="2">
        <v>3</v>
      </c>
      <c r="D6" s="97">
        <v>5</v>
      </c>
      <c r="E6" s="97">
        <v>0</v>
      </c>
      <c r="F6" s="12">
        <v>2.66</v>
      </c>
      <c r="G6" s="30">
        <v>1.1278195381164551</v>
      </c>
      <c r="H6" s="30">
        <v>0.375</v>
      </c>
      <c r="I6" s="32">
        <v>21.6875</v>
      </c>
      <c r="J6" s="28">
        <v>8.1531952256412179</v>
      </c>
      <c r="K6" s="30">
        <v>0.625</v>
      </c>
      <c r="L6" s="3">
        <v>0.60000002384185791</v>
      </c>
      <c r="M6" s="58">
        <v>45717</v>
      </c>
      <c r="O6" s="12" t="s">
        <v>392</v>
      </c>
      <c r="P6" s="2">
        <v>42</v>
      </c>
      <c r="Q6" s="97">
        <v>50</v>
      </c>
      <c r="R6" s="97">
        <v>0</v>
      </c>
      <c r="S6" s="12">
        <v>14.89</v>
      </c>
      <c r="T6" s="30">
        <v>2.8206849098205566</v>
      </c>
      <c r="U6" s="30">
        <v>0.80769228935241699</v>
      </c>
      <c r="V6" s="32">
        <v>161</v>
      </c>
      <c r="W6" s="28">
        <v>10.812625674128917</v>
      </c>
      <c r="X6" s="30">
        <v>0.96153843402862549</v>
      </c>
      <c r="Y6" s="3">
        <v>0.8399999737739563</v>
      </c>
      <c r="Z6" s="58">
        <v>45801</v>
      </c>
      <c r="AB6" s="12" t="s">
        <v>421</v>
      </c>
      <c r="AC6" s="2">
        <v>119</v>
      </c>
      <c r="AD6" s="97">
        <v>166</v>
      </c>
      <c r="AE6" s="97">
        <v>0</v>
      </c>
      <c r="AF6" s="12">
        <v>60.31</v>
      </c>
      <c r="AG6" s="30">
        <v>1.973138689994812</v>
      </c>
      <c r="AH6" s="30">
        <v>0.67231637239456177</v>
      </c>
      <c r="AI6" s="32">
        <v>528.8125</v>
      </c>
      <c r="AJ6" s="28">
        <v>8.7682388983362021</v>
      </c>
      <c r="AK6" s="30">
        <v>0.93785309791564941</v>
      </c>
      <c r="AL6" s="3">
        <v>0.71686744689941406</v>
      </c>
      <c r="AM6" s="58">
        <v>45753</v>
      </c>
    </row>
    <row r="7" spans="1:39" x14ac:dyDescent="0.3">
      <c r="A7" s="12">
        <v>1</v>
      </c>
      <c r="B7" s="12" t="s">
        <v>453</v>
      </c>
      <c r="C7" s="2">
        <v>37</v>
      </c>
      <c r="D7" s="97">
        <v>44</v>
      </c>
      <c r="E7" s="97">
        <v>0</v>
      </c>
      <c r="F7" s="12">
        <v>12.07</v>
      </c>
      <c r="G7" s="30">
        <v>3.0654516220092773</v>
      </c>
      <c r="H7" s="30">
        <v>0.73999994993209839</v>
      </c>
      <c r="I7" s="32">
        <v>93.1875</v>
      </c>
      <c r="J7" s="28">
        <v>7.7205884305001327</v>
      </c>
      <c r="K7" s="30">
        <v>0.87999999523162842</v>
      </c>
      <c r="L7" s="3">
        <v>0.84090906381607056</v>
      </c>
      <c r="M7" s="58">
        <v>45720</v>
      </c>
      <c r="N7" s="12">
        <v>1</v>
      </c>
      <c r="O7" s="12" t="s">
        <v>518</v>
      </c>
      <c r="P7" s="2">
        <v>102</v>
      </c>
      <c r="Q7" s="97">
        <v>127</v>
      </c>
      <c r="R7" s="97">
        <v>0</v>
      </c>
      <c r="S7" s="12">
        <v>44.05</v>
      </c>
      <c r="T7" s="30">
        <v>2.3155505657196045</v>
      </c>
      <c r="U7" s="30">
        <v>0.73913043737411499</v>
      </c>
      <c r="V7" s="32">
        <v>313.3125</v>
      </c>
      <c r="W7" s="28">
        <v>7.1126561958348704</v>
      </c>
      <c r="X7" s="30">
        <v>0.92028981447219849</v>
      </c>
      <c r="Y7" s="3">
        <v>0.80314964056015015</v>
      </c>
      <c r="Z7" s="58">
        <v>45712</v>
      </c>
      <c r="AA7" s="12">
        <v>1</v>
      </c>
      <c r="AB7" s="12" t="s">
        <v>462</v>
      </c>
      <c r="AC7" s="2">
        <v>233</v>
      </c>
      <c r="AD7" s="97">
        <v>272</v>
      </c>
      <c r="AE7" s="97">
        <v>0</v>
      </c>
      <c r="AF7" s="12">
        <v>79.45</v>
      </c>
      <c r="AG7" s="30">
        <v>2.9326622486114502</v>
      </c>
      <c r="AH7" s="30">
        <v>0.82042253017425537</v>
      </c>
      <c r="AI7" s="32">
        <v>663.25</v>
      </c>
      <c r="AJ7" s="28">
        <v>8.3480179418014977</v>
      </c>
      <c r="AK7" s="30">
        <v>0.95774650573730469</v>
      </c>
      <c r="AL7" s="3">
        <v>0.85661762952804565</v>
      </c>
      <c r="AM7" s="58">
        <v>45779</v>
      </c>
    </row>
    <row r="8" spans="1:39" x14ac:dyDescent="0.3">
      <c r="A8" s="12">
        <v>2</v>
      </c>
      <c r="B8" s="12" t="s">
        <v>482</v>
      </c>
      <c r="C8" s="2">
        <v>33</v>
      </c>
      <c r="D8" s="97">
        <v>41</v>
      </c>
      <c r="E8" s="97">
        <v>0</v>
      </c>
      <c r="F8" s="12">
        <v>8.73</v>
      </c>
      <c r="G8" s="30">
        <v>3.7800688743591309</v>
      </c>
      <c r="H8" s="30">
        <v>0.76744186878204346</v>
      </c>
      <c r="I8" s="32">
        <v>79</v>
      </c>
      <c r="J8" s="28">
        <v>9.0492559155120986</v>
      </c>
      <c r="K8" s="30">
        <v>0.95348840951919556</v>
      </c>
      <c r="L8" s="3">
        <v>0.80487805604934692</v>
      </c>
      <c r="M8" s="58">
        <v>45763</v>
      </c>
      <c r="N8" s="12">
        <v>2</v>
      </c>
      <c r="O8" s="12" t="s">
        <v>488</v>
      </c>
      <c r="P8" s="2">
        <v>101</v>
      </c>
      <c r="Q8" s="97">
        <v>124</v>
      </c>
      <c r="R8" s="97">
        <v>0</v>
      </c>
      <c r="S8" s="12">
        <v>32.409999999999997</v>
      </c>
      <c r="T8" s="30">
        <v>3.1163220405578613</v>
      </c>
      <c r="U8" s="30">
        <v>0.753731369972229</v>
      </c>
      <c r="V8" s="32">
        <v>266.125</v>
      </c>
      <c r="W8" s="28">
        <v>8.211200285496135</v>
      </c>
      <c r="X8" s="30">
        <v>0.92537319660186768</v>
      </c>
      <c r="Y8" s="3">
        <v>0.81451606750488281</v>
      </c>
      <c r="Z8" s="58">
        <v>45761</v>
      </c>
      <c r="AA8" s="12">
        <v>2</v>
      </c>
      <c r="AB8" s="12" t="s">
        <v>555</v>
      </c>
      <c r="AC8" s="2">
        <v>223</v>
      </c>
      <c r="AD8" s="97">
        <v>265</v>
      </c>
      <c r="AE8" s="97">
        <v>0</v>
      </c>
      <c r="AF8" s="12">
        <v>85.34</v>
      </c>
      <c r="AG8" s="30">
        <v>2.6130771636962891</v>
      </c>
      <c r="AH8" s="30">
        <v>0.79642856121063232</v>
      </c>
      <c r="AI8" s="32">
        <v>660.8125</v>
      </c>
      <c r="AJ8" s="28">
        <v>7.7432918720035362</v>
      </c>
      <c r="AK8" s="30">
        <v>0.94642859697341919</v>
      </c>
      <c r="AL8" s="3">
        <v>0.84150940179824829</v>
      </c>
      <c r="AM8" s="58">
        <v>45765</v>
      </c>
    </row>
    <row r="9" spans="1:39" x14ac:dyDescent="0.3">
      <c r="A9" s="12">
        <v>3</v>
      </c>
      <c r="B9" s="12" t="s">
        <v>482</v>
      </c>
      <c r="C9" s="2">
        <v>29</v>
      </c>
      <c r="D9" s="97">
        <v>41</v>
      </c>
      <c r="E9" s="97">
        <v>0</v>
      </c>
      <c r="F9" s="12">
        <v>10.55</v>
      </c>
      <c r="G9" s="30">
        <v>2.7488150596618652</v>
      </c>
      <c r="H9" s="30">
        <v>0.65909087657928467</v>
      </c>
      <c r="I9" s="32">
        <v>79.8125</v>
      </c>
      <c r="J9" s="28">
        <v>7.5651657400056065</v>
      </c>
      <c r="K9" s="30">
        <v>0.93181812763214111</v>
      </c>
      <c r="L9" s="3">
        <v>0.707317054271698</v>
      </c>
      <c r="M9" s="58">
        <v>45717</v>
      </c>
      <c r="N9" s="12">
        <v>3</v>
      </c>
      <c r="O9" s="12" t="s">
        <v>498</v>
      </c>
      <c r="P9" s="2">
        <v>98</v>
      </c>
      <c r="Q9" s="97">
        <v>117</v>
      </c>
      <c r="R9" s="97">
        <v>0</v>
      </c>
      <c r="S9" s="12">
        <v>33.1</v>
      </c>
      <c r="T9" s="30">
        <v>2.9607253074645996</v>
      </c>
      <c r="U9" s="30">
        <v>0.73684215545654297</v>
      </c>
      <c r="V9" s="32">
        <v>338.0625</v>
      </c>
      <c r="W9" s="28">
        <v>10.213369050887142</v>
      </c>
      <c r="X9" s="30">
        <v>0.8796992301940918</v>
      </c>
      <c r="Y9" s="3">
        <v>0.83760690689086914</v>
      </c>
      <c r="Z9" s="58">
        <v>45810</v>
      </c>
      <c r="AA9" s="12">
        <v>3</v>
      </c>
      <c r="AB9" s="12" t="s">
        <v>532</v>
      </c>
      <c r="AC9" s="2">
        <v>217</v>
      </c>
      <c r="AD9" s="97">
        <v>262</v>
      </c>
      <c r="AE9" s="97">
        <v>0</v>
      </c>
      <c r="AF9" s="12">
        <v>86.55</v>
      </c>
      <c r="AG9" s="30">
        <v>2.5072212219238281</v>
      </c>
      <c r="AH9" s="30">
        <v>0.7862318754196167</v>
      </c>
      <c r="AI9" s="32">
        <v>634.75</v>
      </c>
      <c r="AJ9" s="28">
        <v>7.3339107754902422</v>
      </c>
      <c r="AK9" s="30">
        <v>0.94927531480789185</v>
      </c>
      <c r="AL9" s="3">
        <v>0.82824426889419556</v>
      </c>
      <c r="AM9" s="58">
        <v>45674</v>
      </c>
    </row>
    <row r="10" spans="1:39" x14ac:dyDescent="0.3">
      <c r="B10" s="12" t="s">
        <v>493</v>
      </c>
      <c r="C10" s="2">
        <v>34</v>
      </c>
      <c r="D10" s="97">
        <v>40</v>
      </c>
      <c r="E10" s="97">
        <v>0</v>
      </c>
      <c r="F10" s="12">
        <v>9.31</v>
      </c>
      <c r="G10" s="30">
        <v>3.651986837387085</v>
      </c>
      <c r="H10" s="30">
        <v>0.77272725105285645</v>
      </c>
      <c r="I10" s="32">
        <v>82.375</v>
      </c>
      <c r="J10" s="28">
        <v>8.8480124905720956</v>
      </c>
      <c r="K10" s="30">
        <v>0.90909093618392944</v>
      </c>
      <c r="L10" s="3">
        <v>0.84999996423721313</v>
      </c>
      <c r="M10" s="58">
        <v>45793</v>
      </c>
      <c r="O10" s="12" t="s">
        <v>544</v>
      </c>
      <c r="P10" s="2">
        <v>88</v>
      </c>
      <c r="Q10" s="97">
        <v>117</v>
      </c>
      <c r="R10" s="97">
        <v>0</v>
      </c>
      <c r="S10" s="12">
        <v>32.31</v>
      </c>
      <c r="T10" s="30">
        <v>2.7236149311065674</v>
      </c>
      <c r="U10" s="30">
        <v>0.69291341304779053</v>
      </c>
      <c r="V10" s="32">
        <v>256.0625</v>
      </c>
      <c r="W10" s="28">
        <v>7.9251776266302931</v>
      </c>
      <c r="X10" s="30">
        <v>0.92125988006591797</v>
      </c>
      <c r="Y10" s="3">
        <v>0.75213676691055298</v>
      </c>
      <c r="Z10" s="58">
        <v>45716</v>
      </c>
      <c r="AB10" s="12" t="s">
        <v>528</v>
      </c>
      <c r="AC10" s="2">
        <v>210</v>
      </c>
      <c r="AD10" s="97">
        <v>260</v>
      </c>
      <c r="AE10" s="97">
        <v>0</v>
      </c>
      <c r="AF10" s="12">
        <v>78.8</v>
      </c>
      <c r="AG10" s="30">
        <v>2.6649744510650635</v>
      </c>
      <c r="AH10" s="30">
        <v>0.76923078298568726</v>
      </c>
      <c r="AI10" s="32">
        <v>621.8125</v>
      </c>
      <c r="AJ10" s="28">
        <v>7.8910212680014489</v>
      </c>
      <c r="AK10" s="30">
        <v>0.95238101482391357</v>
      </c>
      <c r="AL10" s="3">
        <v>0.80769228935241699</v>
      </c>
      <c r="AM10" s="58">
        <v>45776</v>
      </c>
    </row>
    <row r="11" spans="1:39" x14ac:dyDescent="0.3">
      <c r="B11" s="12" t="s">
        <v>482</v>
      </c>
      <c r="C11" s="2">
        <v>34</v>
      </c>
      <c r="D11" s="97">
        <v>40</v>
      </c>
      <c r="E11" s="97">
        <v>0</v>
      </c>
      <c r="F11" s="12">
        <v>10.29</v>
      </c>
      <c r="G11" s="30">
        <v>3.3041787147521973</v>
      </c>
      <c r="H11" s="30">
        <v>0.75555551052093506</v>
      </c>
      <c r="I11" s="32">
        <v>84.0625</v>
      </c>
      <c r="J11" s="28">
        <v>8.1693391945224061</v>
      </c>
      <c r="K11" s="30">
        <v>0.8888888955116272</v>
      </c>
      <c r="L11" s="3">
        <v>0.84999996423721313</v>
      </c>
      <c r="M11" s="58">
        <v>45717</v>
      </c>
      <c r="O11" s="12" t="s">
        <v>426</v>
      </c>
      <c r="P11" s="2">
        <v>91</v>
      </c>
      <c r="Q11" s="97">
        <v>117</v>
      </c>
      <c r="R11" s="97">
        <v>0</v>
      </c>
      <c r="S11" s="12">
        <v>32.119999999999997</v>
      </c>
      <c r="T11" s="30">
        <v>2.8331258296966553</v>
      </c>
      <c r="U11" s="30">
        <v>0.7398374080657959</v>
      </c>
      <c r="V11" s="32">
        <v>284.1875</v>
      </c>
      <c r="W11" s="28">
        <v>8.8476808670716913</v>
      </c>
      <c r="X11" s="30">
        <v>0.95121955871582031</v>
      </c>
      <c r="Y11" s="3">
        <v>0.77777773141860962</v>
      </c>
      <c r="Z11" s="58">
        <v>45705</v>
      </c>
      <c r="AB11" s="12" t="s">
        <v>469</v>
      </c>
      <c r="AC11" s="2">
        <v>224</v>
      </c>
      <c r="AD11" s="97">
        <v>259</v>
      </c>
      <c r="AE11" s="97">
        <v>0</v>
      </c>
      <c r="AF11" s="12">
        <v>78.69</v>
      </c>
      <c r="AG11" s="30">
        <v>2.8466131687164307</v>
      </c>
      <c r="AH11" s="30">
        <v>0.82051283121109009</v>
      </c>
      <c r="AI11" s="32">
        <v>651.625</v>
      </c>
      <c r="AJ11" s="28">
        <v>8.2809121843046025</v>
      </c>
      <c r="AK11" s="30">
        <v>0.94871801137924194</v>
      </c>
      <c r="AL11" s="3">
        <v>0.86486482620239258</v>
      </c>
      <c r="AM11" s="58">
        <v>45785</v>
      </c>
    </row>
    <row r="12" spans="1:39" x14ac:dyDescent="0.3">
      <c r="A12" s="12">
        <v>1</v>
      </c>
      <c r="B12" s="12" t="s">
        <v>408</v>
      </c>
      <c r="C12" s="2">
        <v>7</v>
      </c>
      <c r="D12" s="97">
        <v>7</v>
      </c>
      <c r="E12" s="97">
        <v>0</v>
      </c>
      <c r="F12" s="12">
        <v>2.04</v>
      </c>
      <c r="G12" s="30">
        <v>3.4313726425170898</v>
      </c>
      <c r="H12" s="30">
        <v>0.875</v>
      </c>
      <c r="I12" s="32">
        <v>15.25</v>
      </c>
      <c r="J12" s="28">
        <v>7.4754903358663363</v>
      </c>
      <c r="K12" s="30">
        <v>0.875</v>
      </c>
      <c r="L12" s="3">
        <v>1</v>
      </c>
      <c r="M12" s="58">
        <v>45766</v>
      </c>
      <c r="N12" s="12">
        <v>1</v>
      </c>
      <c r="O12" s="12" t="s">
        <v>395</v>
      </c>
      <c r="P12" s="2">
        <v>40</v>
      </c>
      <c r="Q12" s="97">
        <v>44</v>
      </c>
      <c r="R12" s="97">
        <v>0</v>
      </c>
      <c r="S12" s="12">
        <v>15.62</v>
      </c>
      <c r="T12" s="30">
        <v>2.5608193874359131</v>
      </c>
      <c r="U12" s="30">
        <v>0.85106378793716431</v>
      </c>
      <c r="V12" s="32">
        <v>130.0625</v>
      </c>
      <c r="W12" s="28">
        <v>8.3266645936562824</v>
      </c>
      <c r="X12" s="30">
        <v>0.93617022037506104</v>
      </c>
      <c r="Y12" s="3">
        <v>0.90909087657928467</v>
      </c>
      <c r="Z12" s="58">
        <v>45766</v>
      </c>
      <c r="AA12" s="12">
        <v>1</v>
      </c>
      <c r="AB12" s="12" t="s">
        <v>407</v>
      </c>
      <c r="AC12" s="2">
        <v>128</v>
      </c>
      <c r="AD12" s="97">
        <v>165</v>
      </c>
      <c r="AE12" s="97">
        <v>0</v>
      </c>
      <c r="AF12" s="12">
        <v>59.12</v>
      </c>
      <c r="AG12" s="30">
        <v>2.1650879383087158</v>
      </c>
      <c r="AH12" s="30">
        <v>0.72727274894714355</v>
      </c>
      <c r="AI12" s="32">
        <v>439.6875</v>
      </c>
      <c r="AJ12" s="28">
        <v>7.4372041262481572</v>
      </c>
      <c r="AK12" s="30">
        <v>0.93750005960464478</v>
      </c>
      <c r="AL12" s="3">
        <v>0.7757575511932373</v>
      </c>
      <c r="AM12" s="58">
        <v>45750</v>
      </c>
    </row>
    <row r="13" spans="1:39" x14ac:dyDescent="0.3">
      <c r="A13" s="12">
        <v>2</v>
      </c>
      <c r="B13" s="12" t="s">
        <v>405</v>
      </c>
      <c r="C13" s="2">
        <v>5</v>
      </c>
      <c r="D13" s="97">
        <v>5</v>
      </c>
      <c r="E13" s="97">
        <v>0</v>
      </c>
      <c r="F13" s="12">
        <v>1.98</v>
      </c>
      <c r="G13" s="30">
        <v>2.5252525806427002</v>
      </c>
      <c r="H13" s="30">
        <v>0.71428573131561279</v>
      </c>
      <c r="I13" s="32">
        <v>20.5625</v>
      </c>
      <c r="J13" s="28">
        <v>10.385100910060565</v>
      </c>
      <c r="K13" s="30">
        <v>0.71428573131561279</v>
      </c>
      <c r="L13" s="3">
        <v>1</v>
      </c>
      <c r="M13" s="58">
        <v>45721</v>
      </c>
      <c r="N13" s="12">
        <v>2</v>
      </c>
      <c r="O13" s="12" t="s">
        <v>398</v>
      </c>
      <c r="P13" s="2">
        <v>35</v>
      </c>
      <c r="Q13" s="97">
        <v>46</v>
      </c>
      <c r="R13" s="97">
        <v>0</v>
      </c>
      <c r="S13" s="12">
        <v>16.43</v>
      </c>
      <c r="T13" s="30">
        <v>2.1302495002746582</v>
      </c>
      <c r="U13" s="30">
        <v>0.64814811944961548</v>
      </c>
      <c r="V13" s="32">
        <v>136.25</v>
      </c>
      <c r="W13" s="28">
        <v>8.2927569975198665</v>
      </c>
      <c r="X13" s="30">
        <v>0.85185188055038452</v>
      </c>
      <c r="Y13" s="3">
        <v>0.76086956262588501</v>
      </c>
      <c r="Z13" s="58">
        <v>45712</v>
      </c>
      <c r="AA13" s="12">
        <v>2</v>
      </c>
      <c r="AB13" s="12" t="s">
        <v>490</v>
      </c>
      <c r="AC13" s="2">
        <v>138</v>
      </c>
      <c r="AD13" s="97">
        <v>167</v>
      </c>
      <c r="AE13" s="97">
        <v>0</v>
      </c>
      <c r="AF13" s="12">
        <v>68.05</v>
      </c>
      <c r="AG13" s="30">
        <v>2.0279204845428467</v>
      </c>
      <c r="AH13" s="30">
        <v>0.77528089284896851</v>
      </c>
      <c r="AI13" s="32">
        <v>439.875</v>
      </c>
      <c r="AJ13" s="28">
        <v>6.4639967711013568</v>
      </c>
      <c r="AK13" s="30">
        <v>0.93820220232009888</v>
      </c>
      <c r="AL13" s="3">
        <v>0.82634729146957397</v>
      </c>
      <c r="AM13" s="58">
        <v>45695</v>
      </c>
    </row>
    <row r="14" spans="1:39" x14ac:dyDescent="0.3">
      <c r="A14" s="12">
        <v>3</v>
      </c>
      <c r="B14" s="12" t="s">
        <v>482</v>
      </c>
      <c r="C14" s="2">
        <v>5</v>
      </c>
      <c r="D14" s="97">
        <v>10</v>
      </c>
      <c r="E14" s="97">
        <v>0</v>
      </c>
      <c r="F14" s="12">
        <v>2.87</v>
      </c>
      <c r="G14" s="30">
        <v>1.7421603202819824</v>
      </c>
      <c r="H14" s="30">
        <v>0.4166666567325592</v>
      </c>
      <c r="I14" s="32">
        <v>21.5</v>
      </c>
      <c r="J14" s="28">
        <v>7.4912894973205741</v>
      </c>
      <c r="K14" s="30">
        <v>0.83333331346511841</v>
      </c>
      <c r="L14" s="3">
        <v>0.5</v>
      </c>
      <c r="M14" s="58">
        <v>45706</v>
      </c>
      <c r="N14" s="12">
        <v>3</v>
      </c>
      <c r="O14" s="12" t="s">
        <v>438</v>
      </c>
      <c r="P14" s="2">
        <v>44</v>
      </c>
      <c r="Q14" s="97">
        <v>52</v>
      </c>
      <c r="R14" s="97">
        <v>0</v>
      </c>
      <c r="S14" s="12">
        <v>18.82</v>
      </c>
      <c r="T14" s="30">
        <v>2.3379383087158203</v>
      </c>
      <c r="U14" s="30">
        <v>0.80000001192092896</v>
      </c>
      <c r="V14" s="32">
        <v>142.5</v>
      </c>
      <c r="W14" s="28">
        <v>7.5717323225669144</v>
      </c>
      <c r="X14" s="30">
        <v>0.94545459747314453</v>
      </c>
      <c r="Y14" s="3">
        <v>0.84615379571914673</v>
      </c>
      <c r="Z14" s="58">
        <v>45713</v>
      </c>
      <c r="AA14" s="12">
        <v>3</v>
      </c>
      <c r="AB14" s="12" t="s">
        <v>561</v>
      </c>
      <c r="AC14" s="2">
        <v>148</v>
      </c>
      <c r="AD14" s="97">
        <v>193</v>
      </c>
      <c r="AE14" s="97">
        <v>0</v>
      </c>
      <c r="AF14" s="12">
        <v>64.05</v>
      </c>
      <c r="AG14" s="30">
        <v>2.310694694519043</v>
      </c>
      <c r="AH14" s="30">
        <v>0.68837207555770874</v>
      </c>
      <c r="AI14" s="32">
        <v>446.75</v>
      </c>
      <c r="AJ14" s="28">
        <v>6.9750191836679267</v>
      </c>
      <c r="AK14" s="30">
        <v>0.89767444133758545</v>
      </c>
      <c r="AL14" s="3">
        <v>0.76683938503265381</v>
      </c>
      <c r="AM14" s="58">
        <v>45707</v>
      </c>
    </row>
    <row r="15" spans="1:39" x14ac:dyDescent="0.3">
      <c r="B15" s="12" t="s">
        <v>433</v>
      </c>
      <c r="C15" s="2">
        <v>3</v>
      </c>
      <c r="D15" s="97">
        <v>5</v>
      </c>
      <c r="E15" s="97">
        <v>0</v>
      </c>
      <c r="F15" s="12">
        <v>2.66</v>
      </c>
      <c r="G15" s="30">
        <v>1.1278195381164551</v>
      </c>
      <c r="H15" s="30">
        <v>0.375</v>
      </c>
      <c r="I15" s="32">
        <v>21.6875</v>
      </c>
      <c r="J15" s="28">
        <v>8.1531952256412179</v>
      </c>
      <c r="K15" s="30">
        <v>0.625</v>
      </c>
      <c r="L15" s="3">
        <v>0.60000002384185791</v>
      </c>
      <c r="M15" s="58">
        <v>45717</v>
      </c>
      <c r="O15" s="12" t="s">
        <v>442</v>
      </c>
      <c r="P15" s="2">
        <v>43</v>
      </c>
      <c r="Q15" s="97">
        <v>54</v>
      </c>
      <c r="R15" s="97">
        <v>0</v>
      </c>
      <c r="S15" s="12">
        <v>19.02</v>
      </c>
      <c r="T15" s="30">
        <v>2.2607781887054443</v>
      </c>
      <c r="U15" s="30">
        <v>0.75438600778579712</v>
      </c>
      <c r="V15" s="32">
        <v>144.25</v>
      </c>
      <c r="W15" s="28">
        <v>7.584121794335676</v>
      </c>
      <c r="X15" s="30">
        <v>0.94736844301223755</v>
      </c>
      <c r="Y15" s="3">
        <v>0.79629635810852051</v>
      </c>
      <c r="Z15" s="58">
        <v>45716</v>
      </c>
      <c r="AB15" s="12" t="s">
        <v>393</v>
      </c>
      <c r="AC15" s="2">
        <v>148</v>
      </c>
      <c r="AD15" s="97">
        <v>177</v>
      </c>
      <c r="AE15" s="97">
        <v>0</v>
      </c>
      <c r="AF15" s="12">
        <v>54.74</v>
      </c>
      <c r="AG15" s="30">
        <v>2.7036900520324707</v>
      </c>
      <c r="AH15" s="30">
        <v>0.77894735336303711</v>
      </c>
      <c r="AI15" s="32">
        <v>462.25</v>
      </c>
      <c r="AJ15" s="28">
        <v>8.4444644834900764</v>
      </c>
      <c r="AK15" s="30">
        <v>0.93157893419265747</v>
      </c>
      <c r="AL15" s="3">
        <v>0.83615821599960327</v>
      </c>
      <c r="AM15" s="58">
        <v>45801</v>
      </c>
    </row>
    <row r="16" spans="1:39" x14ac:dyDescent="0.3">
      <c r="B16" s="12" t="s">
        <v>400</v>
      </c>
      <c r="C16" s="2">
        <v>9</v>
      </c>
      <c r="D16" s="97">
        <v>12</v>
      </c>
      <c r="E16" s="97">
        <v>0</v>
      </c>
      <c r="F16" s="12">
        <v>2.88</v>
      </c>
      <c r="G16" s="30">
        <v>3.1249997615814209</v>
      </c>
      <c r="H16" s="30">
        <v>0.69230765104293823</v>
      </c>
      <c r="I16" s="32">
        <v>22.5625</v>
      </c>
      <c r="J16" s="28">
        <v>7.8342010775857069</v>
      </c>
      <c r="K16" s="30">
        <v>0.92307692766189575</v>
      </c>
      <c r="L16" s="3">
        <v>0.75</v>
      </c>
      <c r="M16" s="58">
        <v>45765</v>
      </c>
      <c r="O16" s="12" t="s">
        <v>406</v>
      </c>
      <c r="P16" s="2">
        <v>49</v>
      </c>
      <c r="Q16" s="97">
        <v>59</v>
      </c>
      <c r="R16" s="97">
        <v>0</v>
      </c>
      <c r="S16" s="12">
        <v>17.489999999999998</v>
      </c>
      <c r="T16" s="30">
        <v>2.8016009330749512</v>
      </c>
      <c r="U16" s="30">
        <v>0.75384616851806641</v>
      </c>
      <c r="V16" s="32">
        <v>145.25</v>
      </c>
      <c r="W16" s="28">
        <v>8.3047456775760686</v>
      </c>
      <c r="X16" s="30">
        <v>0.9076923131942749</v>
      </c>
      <c r="Y16" s="3">
        <v>0.83050847053527832</v>
      </c>
      <c r="Z16" s="58">
        <v>45761</v>
      </c>
      <c r="AB16" s="12" t="s">
        <v>530</v>
      </c>
      <c r="AC16" s="2">
        <v>165</v>
      </c>
      <c r="AD16" s="97">
        <v>197</v>
      </c>
      <c r="AE16" s="97">
        <v>0</v>
      </c>
      <c r="AF16" s="12">
        <v>65.489999999999995</v>
      </c>
      <c r="AG16" s="30">
        <v>2.5194687843322754</v>
      </c>
      <c r="AH16" s="30">
        <v>0.77464789152145386</v>
      </c>
      <c r="AI16" s="32">
        <v>463.6875</v>
      </c>
      <c r="AJ16" s="28">
        <v>7.0802796629273042</v>
      </c>
      <c r="AK16" s="30">
        <v>0.92488259077072144</v>
      </c>
      <c r="AL16" s="3">
        <v>0.83756351470947266</v>
      </c>
      <c r="AM16" s="58">
        <v>45750</v>
      </c>
    </row>
    <row r="17" spans="1:39" x14ac:dyDescent="0.3">
      <c r="A17" s="12">
        <v>1</v>
      </c>
      <c r="B17" s="12" t="s">
        <v>496</v>
      </c>
      <c r="C17" s="2">
        <v>7</v>
      </c>
      <c r="D17" s="97">
        <v>7</v>
      </c>
      <c r="E17" s="97">
        <v>0</v>
      </c>
      <c r="F17" s="12">
        <v>2.73</v>
      </c>
      <c r="G17" s="30">
        <v>2.5641026496887207</v>
      </c>
      <c r="H17" s="30">
        <v>1</v>
      </c>
      <c r="I17" s="32">
        <v>27.6875</v>
      </c>
      <c r="J17" s="28">
        <v>10.141941321083451</v>
      </c>
      <c r="K17" s="30">
        <v>1</v>
      </c>
      <c r="L17" s="3">
        <v>1</v>
      </c>
      <c r="M17" s="58">
        <v>45717</v>
      </c>
      <c r="N17" s="12">
        <v>1</v>
      </c>
      <c r="O17" s="12" t="s">
        <v>395</v>
      </c>
      <c r="P17" s="2">
        <v>59</v>
      </c>
      <c r="Q17" s="97">
        <v>63</v>
      </c>
      <c r="R17" s="97">
        <v>0</v>
      </c>
      <c r="S17" s="12">
        <v>22.99</v>
      </c>
      <c r="T17" s="30">
        <v>2.5663332939147949</v>
      </c>
      <c r="U17" s="30">
        <v>0.89393943548202515</v>
      </c>
      <c r="V17" s="32">
        <v>192.8125</v>
      </c>
      <c r="W17" s="28">
        <v>8.3867986915870318</v>
      </c>
      <c r="X17" s="30">
        <v>0.95454543828964233</v>
      </c>
      <c r="Y17" s="3">
        <v>0.93650799989700317</v>
      </c>
      <c r="Z17" s="58">
        <v>45674</v>
      </c>
      <c r="AA17" s="12">
        <v>1</v>
      </c>
      <c r="AB17" s="12" t="s">
        <v>415</v>
      </c>
      <c r="AC17" s="2">
        <v>179</v>
      </c>
      <c r="AD17" s="97">
        <v>197</v>
      </c>
      <c r="AE17" s="97">
        <v>0</v>
      </c>
      <c r="AF17" s="12">
        <v>71.599999999999994</v>
      </c>
      <c r="AG17" s="30">
        <v>2.5</v>
      </c>
      <c r="AH17" s="30">
        <v>0.88613855838775635</v>
      </c>
      <c r="AI17" s="32">
        <v>519.375</v>
      </c>
      <c r="AJ17" s="28">
        <v>7.2538409367106551</v>
      </c>
      <c r="AK17" s="30">
        <v>0.97524744272232056</v>
      </c>
      <c r="AL17" s="3">
        <v>0.90862941741943359</v>
      </c>
      <c r="AM17" s="58">
        <v>45675</v>
      </c>
    </row>
    <row r="18" spans="1:39" x14ac:dyDescent="0.3">
      <c r="A18" s="12">
        <v>2</v>
      </c>
      <c r="B18" s="12" t="s">
        <v>419</v>
      </c>
      <c r="C18" s="2">
        <v>10</v>
      </c>
      <c r="D18" s="97">
        <v>10</v>
      </c>
      <c r="E18" s="97">
        <v>0</v>
      </c>
      <c r="F18" s="12">
        <v>3.58</v>
      </c>
      <c r="G18" s="30">
        <v>2.7932960987091064</v>
      </c>
      <c r="H18" s="30">
        <v>1</v>
      </c>
      <c r="I18" s="32">
        <v>33.875</v>
      </c>
      <c r="J18" s="28">
        <v>9.4622907044456674</v>
      </c>
      <c r="K18" s="30">
        <v>1</v>
      </c>
      <c r="L18" s="3">
        <v>1</v>
      </c>
      <c r="M18" s="58">
        <v>45716</v>
      </c>
      <c r="N18" s="12">
        <v>2</v>
      </c>
      <c r="O18" s="12" t="s">
        <v>425</v>
      </c>
      <c r="P18" s="2">
        <v>55</v>
      </c>
      <c r="Q18" s="97">
        <v>61</v>
      </c>
      <c r="R18" s="97">
        <v>0</v>
      </c>
      <c r="S18" s="12">
        <v>18.420000000000002</v>
      </c>
      <c r="T18" s="30">
        <v>2.9858849048614502</v>
      </c>
      <c r="U18" s="30">
        <v>0.88709676265716553</v>
      </c>
      <c r="V18" s="32">
        <v>160</v>
      </c>
      <c r="W18" s="28">
        <v>8.6862106046305492</v>
      </c>
      <c r="X18" s="30">
        <v>0.9838709831237793</v>
      </c>
      <c r="Y18" s="3">
        <v>0.90163934230804443</v>
      </c>
      <c r="Z18" s="58">
        <v>45755</v>
      </c>
      <c r="AA18" s="12">
        <v>2</v>
      </c>
      <c r="AB18" s="12" t="s">
        <v>460</v>
      </c>
      <c r="AC18" s="2">
        <v>199</v>
      </c>
      <c r="AD18" s="97">
        <v>219</v>
      </c>
      <c r="AE18" s="97">
        <v>0</v>
      </c>
      <c r="AF18" s="12">
        <v>66.760000000000005</v>
      </c>
      <c r="AG18" s="30">
        <v>2.9808268547058105</v>
      </c>
      <c r="AH18" s="30">
        <v>0.86521744728088379</v>
      </c>
      <c r="AI18" s="32">
        <v>600.8125</v>
      </c>
      <c r="AJ18" s="28">
        <v>8.999587788717891</v>
      </c>
      <c r="AK18" s="30">
        <v>0.95217394828796387</v>
      </c>
      <c r="AL18" s="3">
        <v>0.90867578983306885</v>
      </c>
      <c r="AM18" s="58">
        <v>45779</v>
      </c>
    </row>
    <row r="19" spans="1:39" x14ac:dyDescent="0.3">
      <c r="A19" s="12">
        <v>3</v>
      </c>
      <c r="B19" s="12" t="s">
        <v>405</v>
      </c>
      <c r="C19" s="2">
        <v>18</v>
      </c>
      <c r="D19" s="97">
        <v>18</v>
      </c>
      <c r="E19" s="97">
        <v>0</v>
      </c>
      <c r="F19" s="12">
        <v>5.04</v>
      </c>
      <c r="G19" s="30">
        <v>3.5714285373687744</v>
      </c>
      <c r="H19" s="30">
        <v>1</v>
      </c>
      <c r="I19" s="32">
        <v>44.1875</v>
      </c>
      <c r="J19" s="28">
        <v>8.7673611774698976</v>
      </c>
      <c r="K19" s="30">
        <v>1</v>
      </c>
      <c r="L19" s="3">
        <v>1</v>
      </c>
      <c r="M19" s="58">
        <v>45716</v>
      </c>
      <c r="N19" s="12">
        <v>3</v>
      </c>
      <c r="O19" s="12" t="s">
        <v>409</v>
      </c>
      <c r="P19" s="2">
        <v>53</v>
      </c>
      <c r="Q19" s="97">
        <v>57</v>
      </c>
      <c r="R19" s="97">
        <v>0</v>
      </c>
      <c r="S19" s="12">
        <v>17.190000000000001</v>
      </c>
      <c r="T19" s="30">
        <v>3.0831878185272217</v>
      </c>
      <c r="U19" s="30">
        <v>0.86885243654251099</v>
      </c>
      <c r="V19" s="32">
        <v>161.75</v>
      </c>
      <c r="W19" s="28">
        <v>9.4095401381479586</v>
      </c>
      <c r="X19" s="30">
        <v>0.93442624807357788</v>
      </c>
      <c r="Y19" s="3">
        <v>0.92982453107833862</v>
      </c>
      <c r="Z19" s="58">
        <v>45805</v>
      </c>
      <c r="AA19" s="12">
        <v>3</v>
      </c>
      <c r="AB19" s="12" t="s">
        <v>495</v>
      </c>
      <c r="AC19" s="2">
        <v>176</v>
      </c>
      <c r="AD19" s="97">
        <v>196</v>
      </c>
      <c r="AE19" s="97">
        <v>0</v>
      </c>
      <c r="AF19" s="12">
        <v>77.14</v>
      </c>
      <c r="AG19" s="30">
        <v>2.2815659046173096</v>
      </c>
      <c r="AH19" s="30">
        <v>0.85853660106658936</v>
      </c>
      <c r="AI19" s="32">
        <v>575.5625</v>
      </c>
      <c r="AJ19" s="28">
        <v>7.4612717728026823</v>
      </c>
      <c r="AK19" s="30">
        <v>0.95609760284423828</v>
      </c>
      <c r="AL19" s="3">
        <v>0.89795911312103271</v>
      </c>
      <c r="AM19" s="58">
        <v>45674</v>
      </c>
    </row>
    <row r="20" spans="1:39" x14ac:dyDescent="0.3">
      <c r="B20" s="12" t="s">
        <v>408</v>
      </c>
      <c r="C20" s="2">
        <v>25</v>
      </c>
      <c r="D20" s="97">
        <v>25</v>
      </c>
      <c r="E20" s="97">
        <v>0</v>
      </c>
      <c r="F20" s="12">
        <v>6.41</v>
      </c>
      <c r="G20" s="30">
        <v>3.9001560211181641</v>
      </c>
      <c r="H20" s="30">
        <v>1</v>
      </c>
      <c r="I20" s="32">
        <v>54.625</v>
      </c>
      <c r="J20" s="28">
        <v>8.5218410764945016</v>
      </c>
      <c r="K20" s="30">
        <v>1</v>
      </c>
      <c r="L20" s="3">
        <v>1</v>
      </c>
      <c r="M20" s="58">
        <v>45712</v>
      </c>
      <c r="O20" s="12" t="s">
        <v>422</v>
      </c>
      <c r="P20" s="2">
        <v>86</v>
      </c>
      <c r="Q20" s="97">
        <v>93</v>
      </c>
      <c r="R20" s="97">
        <v>0</v>
      </c>
      <c r="S20" s="12">
        <v>28.62</v>
      </c>
      <c r="T20" s="30">
        <v>3.0048916339874268</v>
      </c>
      <c r="U20" s="30">
        <v>0.85148519277572632</v>
      </c>
      <c r="V20" s="32">
        <v>275.5</v>
      </c>
      <c r="W20" s="28">
        <v>9.6261352872615564</v>
      </c>
      <c r="X20" s="30">
        <v>0.9207921028137207</v>
      </c>
      <c r="Y20" s="3">
        <v>0.92473119497299194</v>
      </c>
      <c r="Z20" s="58">
        <v>45793</v>
      </c>
      <c r="AB20" s="12" t="s">
        <v>434</v>
      </c>
      <c r="AC20" s="2">
        <v>182</v>
      </c>
      <c r="AD20" s="97">
        <v>204</v>
      </c>
      <c r="AE20" s="97">
        <v>0</v>
      </c>
      <c r="AF20" s="12">
        <v>75.72</v>
      </c>
      <c r="AG20" s="30">
        <v>2.4035921096801758</v>
      </c>
      <c r="AH20" s="30">
        <v>0.85849052667617798</v>
      </c>
      <c r="AI20" s="32">
        <v>472.5</v>
      </c>
      <c r="AJ20" s="28">
        <v>6.2400949865649302</v>
      </c>
      <c r="AK20" s="30">
        <v>0.96226412057876587</v>
      </c>
      <c r="AL20" s="3">
        <v>0.89215689897537231</v>
      </c>
      <c r="AM20" s="58">
        <v>45761</v>
      </c>
    </row>
    <row r="21" spans="1:39" x14ac:dyDescent="0.3">
      <c r="B21" s="12" t="s">
        <v>463</v>
      </c>
      <c r="C21" s="2">
        <v>11</v>
      </c>
      <c r="D21" s="97">
        <v>11</v>
      </c>
      <c r="E21" s="97">
        <v>0</v>
      </c>
      <c r="F21" s="12">
        <v>78.510000000000005</v>
      </c>
      <c r="G21" s="30">
        <v>0.14010953903198242</v>
      </c>
      <c r="H21" s="30">
        <v>1</v>
      </c>
      <c r="I21" s="32">
        <v>95.8125</v>
      </c>
      <c r="J21" s="28">
        <v>1.2203859048907713</v>
      </c>
      <c r="K21" s="30">
        <v>1</v>
      </c>
      <c r="L21" s="3">
        <v>1</v>
      </c>
      <c r="M21" s="58">
        <v>45710</v>
      </c>
      <c r="O21" s="12" t="s">
        <v>395</v>
      </c>
      <c r="P21" s="2">
        <v>40</v>
      </c>
      <c r="Q21" s="97">
        <v>44</v>
      </c>
      <c r="R21" s="97">
        <v>0</v>
      </c>
      <c r="S21" s="12">
        <v>15.62</v>
      </c>
      <c r="T21" s="30">
        <v>2.5608193874359131</v>
      </c>
      <c r="U21" s="30">
        <v>0.85106378793716431</v>
      </c>
      <c r="V21" s="32">
        <v>130.0625</v>
      </c>
      <c r="W21" s="28">
        <v>8.3266645936562824</v>
      </c>
      <c r="X21" s="30">
        <v>0.93617022037506104</v>
      </c>
      <c r="Y21" s="3">
        <v>0.90909087657928467</v>
      </c>
      <c r="Z21" s="58">
        <v>45766</v>
      </c>
      <c r="AB21" s="12" t="s">
        <v>470</v>
      </c>
      <c r="AC21" s="2">
        <v>207</v>
      </c>
      <c r="AD21" s="97">
        <v>235</v>
      </c>
      <c r="AE21" s="97">
        <v>0</v>
      </c>
      <c r="AF21" s="12">
        <v>73.41</v>
      </c>
      <c r="AG21" s="30">
        <v>2.8197791576385498</v>
      </c>
      <c r="AH21" s="30">
        <v>0.85537189245223999</v>
      </c>
      <c r="AI21" s="32">
        <v>637.6875</v>
      </c>
      <c r="AJ21" s="28">
        <v>8.6866566978410713</v>
      </c>
      <c r="AK21" s="30">
        <v>0.97107440233230591</v>
      </c>
      <c r="AL21" s="3">
        <v>0.88085103034973145</v>
      </c>
      <c r="AM21" s="58">
        <v>45772</v>
      </c>
    </row>
    <row r="22" spans="1:39" x14ac:dyDescent="0.3">
      <c r="A22" s="12">
        <v>1</v>
      </c>
      <c r="B22" s="12" t="s">
        <v>482</v>
      </c>
      <c r="C22" s="2">
        <v>17</v>
      </c>
      <c r="D22" s="97">
        <v>22</v>
      </c>
      <c r="E22" s="97">
        <v>0</v>
      </c>
      <c r="F22" s="12">
        <v>5.45</v>
      </c>
      <c r="G22" s="30">
        <v>3.1192662715911865</v>
      </c>
      <c r="H22" s="30">
        <v>0.68000000715255737</v>
      </c>
      <c r="I22" s="32">
        <v>46.9375</v>
      </c>
      <c r="J22" s="28">
        <v>8.6123856225104944</v>
      </c>
      <c r="K22" s="30">
        <v>0.87999999523162842</v>
      </c>
      <c r="L22" s="3">
        <v>0.77272731065750122</v>
      </c>
      <c r="M22" s="58">
        <v>45810</v>
      </c>
      <c r="N22" s="12">
        <v>1</v>
      </c>
      <c r="O22" s="12" t="s">
        <v>459</v>
      </c>
      <c r="P22" s="2">
        <v>100</v>
      </c>
      <c r="Q22" s="97">
        <v>111</v>
      </c>
      <c r="R22" s="97">
        <v>0</v>
      </c>
      <c r="S22" s="12">
        <v>27.72</v>
      </c>
      <c r="T22" s="30">
        <v>3.6075036525726318</v>
      </c>
      <c r="U22" s="30">
        <v>0.84745758771896362</v>
      </c>
      <c r="V22" s="32">
        <v>255.8125</v>
      </c>
      <c r="W22" s="28">
        <v>9.2284453945407847</v>
      </c>
      <c r="X22" s="30">
        <v>0.9406779408454895</v>
      </c>
      <c r="Y22" s="3">
        <v>0.90090084075927734</v>
      </c>
      <c r="Z22" s="58">
        <v>45793</v>
      </c>
      <c r="AA22" s="12">
        <v>1</v>
      </c>
      <c r="AB22" s="12" t="s">
        <v>562</v>
      </c>
      <c r="AC22" s="2">
        <v>187</v>
      </c>
      <c r="AD22" s="97">
        <v>214</v>
      </c>
      <c r="AE22" s="97">
        <v>0</v>
      </c>
      <c r="AF22" s="12">
        <v>72.86</v>
      </c>
      <c r="AG22" s="30">
        <v>2.566565990447998</v>
      </c>
      <c r="AH22" s="30">
        <v>0.82378852367401123</v>
      </c>
      <c r="AI22" s="32">
        <v>615.6875</v>
      </c>
      <c r="AJ22" s="28">
        <v>8.4502812907268403</v>
      </c>
      <c r="AK22" s="30">
        <v>0.94273126125335693</v>
      </c>
      <c r="AL22" s="3">
        <v>0.87383174896240234</v>
      </c>
      <c r="AM22" s="58">
        <v>45808</v>
      </c>
    </row>
    <row r="23" spans="1:39" x14ac:dyDescent="0.3">
      <c r="A23" s="12">
        <v>2</v>
      </c>
      <c r="B23" s="12" t="s">
        <v>433</v>
      </c>
      <c r="C23" s="2">
        <v>16</v>
      </c>
      <c r="D23" s="97">
        <v>18</v>
      </c>
      <c r="E23" s="97">
        <v>0</v>
      </c>
      <c r="F23" s="12">
        <v>5.27</v>
      </c>
      <c r="G23" s="30">
        <v>3.0360531806945801</v>
      </c>
      <c r="H23" s="30">
        <v>0.72727274894714355</v>
      </c>
      <c r="I23" s="32">
        <v>58.9375</v>
      </c>
      <c r="J23" s="28">
        <v>11.183586378237187</v>
      </c>
      <c r="K23" s="30">
        <v>0.81818181276321411</v>
      </c>
      <c r="L23" s="3">
        <v>0.8888888955116272</v>
      </c>
      <c r="M23" s="58">
        <v>45810</v>
      </c>
      <c r="N23" s="12">
        <v>2</v>
      </c>
      <c r="O23" s="12" t="s">
        <v>830</v>
      </c>
      <c r="P23" s="2">
        <v>60</v>
      </c>
      <c r="Q23" s="97">
        <v>71</v>
      </c>
      <c r="R23" s="97">
        <v>0</v>
      </c>
      <c r="S23" s="12">
        <v>18.440000000000001</v>
      </c>
      <c r="T23" s="30">
        <v>3.2537961006164551</v>
      </c>
      <c r="U23" s="30">
        <v>0.76923078298568726</v>
      </c>
      <c r="V23" s="32">
        <v>174.25</v>
      </c>
      <c r="W23" s="28">
        <v>9.449565886843132</v>
      </c>
      <c r="X23" s="30">
        <v>0.91025644540786743</v>
      </c>
      <c r="Y23" s="3">
        <v>0.84507042169570923</v>
      </c>
      <c r="Z23" s="58">
        <v>45810</v>
      </c>
      <c r="AA23" s="12">
        <v>2</v>
      </c>
      <c r="AB23" s="12" t="s">
        <v>473</v>
      </c>
      <c r="AC23" s="2">
        <v>194</v>
      </c>
      <c r="AD23" s="97">
        <v>232</v>
      </c>
      <c r="AE23" s="97">
        <v>0</v>
      </c>
      <c r="AF23" s="12">
        <v>69.680000000000007</v>
      </c>
      <c r="AG23" s="30">
        <v>2.7841560840606689</v>
      </c>
      <c r="AH23" s="30">
        <v>0.77290832996368408</v>
      </c>
      <c r="AI23" s="32">
        <v>604.4375</v>
      </c>
      <c r="AJ23" s="28">
        <v>8.6744761388168765</v>
      </c>
      <c r="AK23" s="30">
        <v>0.92430281639099121</v>
      </c>
      <c r="AL23" s="3">
        <v>0.83620685338973999</v>
      </c>
      <c r="AM23" s="58">
        <v>45807</v>
      </c>
    </row>
    <row r="24" spans="1:39" x14ac:dyDescent="0.3">
      <c r="A24" s="12">
        <v>3</v>
      </c>
      <c r="B24" s="12" t="s">
        <v>408</v>
      </c>
      <c r="C24" s="2">
        <v>15</v>
      </c>
      <c r="D24" s="97">
        <v>15</v>
      </c>
      <c r="E24" s="97">
        <v>0</v>
      </c>
      <c r="F24" s="12">
        <v>4.16</v>
      </c>
      <c r="G24" s="30">
        <v>3.6057693958282471</v>
      </c>
      <c r="H24" s="30">
        <v>0.88235288858413696</v>
      </c>
      <c r="I24" s="32">
        <v>42.125</v>
      </c>
      <c r="J24" s="28">
        <v>10.126202294503809</v>
      </c>
      <c r="K24" s="30">
        <v>0.88235288858413696</v>
      </c>
      <c r="L24" s="3">
        <v>1</v>
      </c>
      <c r="M24" s="58">
        <v>45810</v>
      </c>
      <c r="N24" s="12">
        <v>3</v>
      </c>
      <c r="O24" s="12" t="s">
        <v>464</v>
      </c>
      <c r="P24" s="2">
        <v>88</v>
      </c>
      <c r="Q24" s="97">
        <v>98</v>
      </c>
      <c r="R24" s="97">
        <v>0</v>
      </c>
      <c r="S24" s="12">
        <v>26.13</v>
      </c>
      <c r="T24" s="30">
        <v>3.36777663230896</v>
      </c>
      <c r="U24" s="30">
        <v>0.83809524774551392</v>
      </c>
      <c r="V24" s="32">
        <v>202.5</v>
      </c>
      <c r="W24" s="28">
        <v>7.7497132224959113</v>
      </c>
      <c r="X24" s="30">
        <v>0.93333339691162109</v>
      </c>
      <c r="Y24" s="3">
        <v>0.89795917272567749</v>
      </c>
      <c r="Z24" s="58">
        <v>45777</v>
      </c>
      <c r="AA24" s="12">
        <v>3</v>
      </c>
      <c r="AB24" s="12" t="s">
        <v>462</v>
      </c>
      <c r="AC24" s="2">
        <v>233</v>
      </c>
      <c r="AD24" s="97">
        <v>272</v>
      </c>
      <c r="AE24" s="97">
        <v>0</v>
      </c>
      <c r="AF24" s="12">
        <v>79.45</v>
      </c>
      <c r="AG24" s="30">
        <v>2.9326622486114502</v>
      </c>
      <c r="AH24" s="30">
        <v>0.82042253017425537</v>
      </c>
      <c r="AI24" s="32">
        <v>663.25</v>
      </c>
      <c r="AJ24" s="28">
        <v>8.3480179418014977</v>
      </c>
      <c r="AK24" s="30">
        <v>0.95774650573730469</v>
      </c>
      <c r="AL24" s="3">
        <v>0.85661762952804565</v>
      </c>
      <c r="AM24" s="58">
        <v>45779</v>
      </c>
    </row>
    <row r="25" spans="1:39" x14ac:dyDescent="0.3">
      <c r="B25" s="12" t="s">
        <v>408</v>
      </c>
      <c r="C25" s="2">
        <v>30</v>
      </c>
      <c r="D25" s="97">
        <v>34</v>
      </c>
      <c r="E25" s="97">
        <v>0</v>
      </c>
      <c r="F25" s="12">
        <v>8.33</v>
      </c>
      <c r="G25" s="30">
        <v>3.6014406681060791</v>
      </c>
      <c r="H25" s="30">
        <v>0.83333337306976318</v>
      </c>
      <c r="I25" s="32">
        <v>75.25</v>
      </c>
      <c r="J25" s="28">
        <v>9.0336135281164491</v>
      </c>
      <c r="K25" s="30">
        <v>0.94444441795349121</v>
      </c>
      <c r="L25" s="3">
        <v>0.88235294818878174</v>
      </c>
      <c r="M25" s="58">
        <v>45810</v>
      </c>
      <c r="O25" s="12" t="s">
        <v>563</v>
      </c>
      <c r="P25" s="2">
        <v>66</v>
      </c>
      <c r="Q25" s="97">
        <v>94</v>
      </c>
      <c r="R25" s="97">
        <v>0</v>
      </c>
      <c r="S25" s="12">
        <v>27.61</v>
      </c>
      <c r="T25" s="30">
        <v>2.3904380798339844</v>
      </c>
      <c r="U25" s="30">
        <v>0.65346533060073853</v>
      </c>
      <c r="V25" s="32">
        <v>193.5625</v>
      </c>
      <c r="W25" s="28">
        <v>7.0105938327081887</v>
      </c>
      <c r="X25" s="30">
        <v>0.93069303035736084</v>
      </c>
      <c r="Y25" s="3">
        <v>0.70212763547897339</v>
      </c>
      <c r="Z25" s="58">
        <v>45674</v>
      </c>
      <c r="AB25" s="12" t="s">
        <v>462</v>
      </c>
      <c r="AC25" s="2">
        <v>195</v>
      </c>
      <c r="AD25" s="97">
        <v>227</v>
      </c>
      <c r="AE25" s="97">
        <v>0</v>
      </c>
      <c r="AF25" s="12">
        <v>76.260000000000005</v>
      </c>
      <c r="AG25" s="30">
        <v>2.5570416450500488</v>
      </c>
      <c r="AH25" s="30">
        <v>0.80246913433074951</v>
      </c>
      <c r="AI25" s="32">
        <v>653.375</v>
      </c>
      <c r="AJ25" s="28">
        <v>8.5677285824463301</v>
      </c>
      <c r="AK25" s="30">
        <v>0.93415641784667969</v>
      </c>
      <c r="AL25" s="3">
        <v>0.85903078317642212</v>
      </c>
      <c r="AM25" s="58">
        <v>45772</v>
      </c>
    </row>
    <row r="26" spans="1:39" x14ac:dyDescent="0.3">
      <c r="B26" s="12" t="s">
        <v>433</v>
      </c>
      <c r="C26" s="2">
        <v>25</v>
      </c>
      <c r="D26" s="97">
        <v>29</v>
      </c>
      <c r="E26" s="97">
        <v>0</v>
      </c>
      <c r="F26" s="12">
        <v>7.41</v>
      </c>
      <c r="G26" s="30">
        <v>3.3738193511962891</v>
      </c>
      <c r="H26" s="30">
        <v>0.78125005960464478</v>
      </c>
      <c r="I26" s="32">
        <v>71.25</v>
      </c>
      <c r="J26" s="28">
        <v>9.6153848133861377</v>
      </c>
      <c r="K26" s="30">
        <v>0.90625</v>
      </c>
      <c r="L26" s="3">
        <v>0.86206901073455811</v>
      </c>
      <c r="M26" s="58">
        <v>45810</v>
      </c>
      <c r="O26" s="12" t="s">
        <v>514</v>
      </c>
      <c r="P26" s="2">
        <v>70</v>
      </c>
      <c r="Q26" s="97">
        <v>85</v>
      </c>
      <c r="R26" s="97">
        <v>0</v>
      </c>
      <c r="S26" s="12">
        <v>25.28</v>
      </c>
      <c r="T26" s="30">
        <v>2.7689871788024902</v>
      </c>
      <c r="U26" s="30">
        <v>0.76086950302124023</v>
      </c>
      <c r="V26" s="32">
        <v>244.125</v>
      </c>
      <c r="W26" s="28">
        <v>9.6568430921349719</v>
      </c>
      <c r="X26" s="30">
        <v>0.92391300201416016</v>
      </c>
      <c r="Y26" s="3">
        <v>0.82352942228317261</v>
      </c>
      <c r="Z26" s="58">
        <v>45800</v>
      </c>
      <c r="AB26" s="12" t="s">
        <v>562</v>
      </c>
      <c r="AC26" s="2">
        <v>184</v>
      </c>
      <c r="AD26" s="97">
        <v>215</v>
      </c>
      <c r="AE26" s="97">
        <v>0</v>
      </c>
      <c r="AF26" s="12">
        <v>73.010000000000005</v>
      </c>
      <c r="AG26" s="30">
        <v>2.52020263671875</v>
      </c>
      <c r="AH26" s="30">
        <v>0.79653680324554443</v>
      </c>
      <c r="AI26" s="32">
        <v>567.1875</v>
      </c>
      <c r="AJ26" s="28">
        <v>7.7686273579567393</v>
      </c>
      <c r="AK26" s="30">
        <v>0.93073594570159912</v>
      </c>
      <c r="AL26" s="3">
        <v>0.85581392049789429</v>
      </c>
      <c r="AM26" s="58">
        <v>45752</v>
      </c>
    </row>
    <row r="27" spans="1:39" x14ac:dyDescent="0.3">
      <c r="A27" s="12">
        <v>1</v>
      </c>
      <c r="B27" s="12" t="s">
        <v>408</v>
      </c>
      <c r="C27" s="2">
        <v>15</v>
      </c>
      <c r="D27" s="97">
        <v>15</v>
      </c>
      <c r="E27" s="97">
        <v>0</v>
      </c>
      <c r="F27" s="12">
        <v>4.16</v>
      </c>
      <c r="G27" s="30">
        <v>3.6057693958282471</v>
      </c>
      <c r="H27" s="30">
        <v>0.88235288858413696</v>
      </c>
      <c r="I27" s="32">
        <v>42.125</v>
      </c>
      <c r="J27" s="28">
        <v>10.126202294503809</v>
      </c>
      <c r="K27" s="30">
        <v>0.88235288858413696</v>
      </c>
      <c r="L27" s="3">
        <v>1</v>
      </c>
      <c r="M27" s="58">
        <v>45810</v>
      </c>
      <c r="N27" s="12">
        <v>1</v>
      </c>
      <c r="O27" s="12" t="s">
        <v>409</v>
      </c>
      <c r="P27" s="2">
        <v>53</v>
      </c>
      <c r="Q27" s="97">
        <v>57</v>
      </c>
      <c r="R27" s="97">
        <v>0</v>
      </c>
      <c r="S27" s="12">
        <v>17.190000000000001</v>
      </c>
      <c r="T27" s="30">
        <v>3.0831878185272217</v>
      </c>
      <c r="U27" s="30">
        <v>0.86885243654251099</v>
      </c>
      <c r="V27" s="32">
        <v>161.75</v>
      </c>
      <c r="W27" s="28">
        <v>9.4095401381479586</v>
      </c>
      <c r="X27" s="30">
        <v>0.93442624807357788</v>
      </c>
      <c r="Y27" s="3">
        <v>0.92982453107833862</v>
      </c>
      <c r="Z27" s="58">
        <v>45805</v>
      </c>
      <c r="AA27" s="12">
        <v>1</v>
      </c>
      <c r="AB27" s="12" t="s">
        <v>415</v>
      </c>
      <c r="AC27" s="2">
        <v>179</v>
      </c>
      <c r="AD27" s="97">
        <v>197</v>
      </c>
      <c r="AE27" s="97">
        <v>0</v>
      </c>
      <c r="AF27" s="12">
        <v>71.599999999999994</v>
      </c>
      <c r="AG27" s="30">
        <v>2.5</v>
      </c>
      <c r="AH27" s="30">
        <v>0.88613855838775635</v>
      </c>
      <c r="AI27" s="32">
        <v>519.375</v>
      </c>
      <c r="AJ27" s="28">
        <v>7.2538409367106551</v>
      </c>
      <c r="AK27" s="30">
        <v>0.97524744272232056</v>
      </c>
      <c r="AL27" s="3">
        <v>0.90862941741943359</v>
      </c>
      <c r="AM27" s="58">
        <v>45675</v>
      </c>
    </row>
    <row r="28" spans="1:39" x14ac:dyDescent="0.3">
      <c r="A28" s="12">
        <v>2</v>
      </c>
      <c r="B28" s="12" t="s">
        <v>408</v>
      </c>
      <c r="C28" s="2">
        <v>30</v>
      </c>
      <c r="D28" s="97">
        <v>34</v>
      </c>
      <c r="E28" s="97">
        <v>0</v>
      </c>
      <c r="F28" s="12">
        <v>8.33</v>
      </c>
      <c r="G28" s="30">
        <v>3.6014406681060791</v>
      </c>
      <c r="H28" s="30">
        <v>0.83333337306976318</v>
      </c>
      <c r="I28" s="32">
        <v>75.25</v>
      </c>
      <c r="J28" s="28">
        <v>9.0336135281164491</v>
      </c>
      <c r="K28" s="30">
        <v>0.94444441795349121</v>
      </c>
      <c r="L28" s="3">
        <v>0.88235294818878174</v>
      </c>
      <c r="M28" s="58">
        <v>45810</v>
      </c>
      <c r="N28" s="12">
        <v>2</v>
      </c>
      <c r="O28" s="12" t="s">
        <v>395</v>
      </c>
      <c r="P28" s="2">
        <v>40</v>
      </c>
      <c r="Q28" s="97">
        <v>44</v>
      </c>
      <c r="R28" s="97">
        <v>0</v>
      </c>
      <c r="S28" s="12">
        <v>15.62</v>
      </c>
      <c r="T28" s="30">
        <v>2.5608193874359131</v>
      </c>
      <c r="U28" s="30">
        <v>0.85106378793716431</v>
      </c>
      <c r="V28" s="32">
        <v>130.0625</v>
      </c>
      <c r="W28" s="28">
        <v>8.3266645936562824</v>
      </c>
      <c r="X28" s="30">
        <v>0.93617022037506104</v>
      </c>
      <c r="Y28" s="3">
        <v>0.90909087657928467</v>
      </c>
      <c r="Z28" s="58">
        <v>45766</v>
      </c>
      <c r="AA28" s="12">
        <v>2</v>
      </c>
      <c r="AB28" s="12" t="s">
        <v>452</v>
      </c>
      <c r="AC28" s="2">
        <v>168</v>
      </c>
      <c r="AD28" s="97">
        <v>193</v>
      </c>
      <c r="AE28" s="97">
        <v>0</v>
      </c>
      <c r="AF28" s="12">
        <v>64.17</v>
      </c>
      <c r="AG28" s="30">
        <v>2.6180458068847656</v>
      </c>
      <c r="AH28" s="30">
        <v>0.81159418821334839</v>
      </c>
      <c r="AI28" s="32">
        <v>588.3125</v>
      </c>
      <c r="AJ28" s="28">
        <v>9.1680304938003001</v>
      </c>
      <c r="AK28" s="30">
        <v>0.93236714601516724</v>
      </c>
      <c r="AL28" s="3">
        <v>0.87046629190444946</v>
      </c>
      <c r="AM28" s="58">
        <v>45809</v>
      </c>
    </row>
    <row r="29" spans="1:39" x14ac:dyDescent="0.3">
      <c r="A29" s="12">
        <v>3</v>
      </c>
      <c r="B29" s="12" t="s">
        <v>397</v>
      </c>
      <c r="C29" s="2">
        <v>21</v>
      </c>
      <c r="D29" s="97">
        <v>21</v>
      </c>
      <c r="E29" s="97">
        <v>0</v>
      </c>
      <c r="F29" s="12">
        <v>5.35</v>
      </c>
      <c r="G29" s="30">
        <v>3.9252336025238037</v>
      </c>
      <c r="H29" s="30">
        <v>0.95454537868499756</v>
      </c>
      <c r="I29" s="32">
        <v>46.75</v>
      </c>
      <c r="J29" s="28">
        <v>8.7383179127758766</v>
      </c>
      <c r="K29" s="30">
        <v>0.95454537868499756</v>
      </c>
      <c r="L29" s="3">
        <v>1</v>
      </c>
      <c r="M29" s="58">
        <v>45810</v>
      </c>
      <c r="N29" s="12">
        <v>3</v>
      </c>
      <c r="O29" s="12" t="s">
        <v>511</v>
      </c>
      <c r="P29" s="2">
        <v>67</v>
      </c>
      <c r="Q29" s="97">
        <v>74</v>
      </c>
      <c r="R29" s="97">
        <v>0</v>
      </c>
      <c r="S29" s="12">
        <v>24.82</v>
      </c>
      <c r="T29" s="30">
        <v>2.6994359493255615</v>
      </c>
      <c r="U29" s="30">
        <v>0.81707316637039185</v>
      </c>
      <c r="V29" s="32">
        <v>216.4375</v>
      </c>
      <c r="W29" s="28">
        <v>8.7202861668501264</v>
      </c>
      <c r="X29" s="30">
        <v>0.90243899822235107</v>
      </c>
      <c r="Y29" s="3">
        <v>0.90540540218353271</v>
      </c>
      <c r="Z29" s="58">
        <v>45764</v>
      </c>
      <c r="AA29" s="12">
        <v>3</v>
      </c>
      <c r="AB29" s="12" t="s">
        <v>434</v>
      </c>
      <c r="AC29" s="2">
        <v>182</v>
      </c>
      <c r="AD29" s="97">
        <v>204</v>
      </c>
      <c r="AE29" s="97">
        <v>0</v>
      </c>
      <c r="AF29" s="12">
        <v>75.72</v>
      </c>
      <c r="AG29" s="30">
        <v>2.4035921096801758</v>
      </c>
      <c r="AH29" s="30">
        <v>0.85849052667617798</v>
      </c>
      <c r="AI29" s="32">
        <v>472.5</v>
      </c>
      <c r="AJ29" s="28">
        <v>6.2400949865649302</v>
      </c>
      <c r="AK29" s="30">
        <v>0.96226412057876587</v>
      </c>
      <c r="AL29" s="3">
        <v>0.89215689897537231</v>
      </c>
      <c r="AM29" s="58">
        <v>45761</v>
      </c>
    </row>
    <row r="30" spans="1:39" x14ac:dyDescent="0.3">
      <c r="B30" s="12" t="s">
        <v>405</v>
      </c>
      <c r="C30" s="2">
        <v>11</v>
      </c>
      <c r="D30" s="97">
        <v>11</v>
      </c>
      <c r="E30" s="97">
        <v>0</v>
      </c>
      <c r="F30" s="12">
        <v>3.17</v>
      </c>
      <c r="G30" s="30">
        <v>3.4700314998626709</v>
      </c>
      <c r="H30" s="30">
        <v>0.91666668653488159</v>
      </c>
      <c r="I30" s="32">
        <v>35.25</v>
      </c>
      <c r="J30" s="28">
        <v>11.119873549407247</v>
      </c>
      <c r="K30" s="30">
        <v>0.91666668653488159</v>
      </c>
      <c r="L30" s="3">
        <v>1</v>
      </c>
      <c r="M30" s="58">
        <v>45810</v>
      </c>
      <c r="O30" s="12" t="s">
        <v>425</v>
      </c>
      <c r="P30" s="2">
        <v>55</v>
      </c>
      <c r="Q30" s="97">
        <v>61</v>
      </c>
      <c r="R30" s="97">
        <v>0</v>
      </c>
      <c r="S30" s="12">
        <v>18.420000000000002</v>
      </c>
      <c r="T30" s="30">
        <v>2.9858849048614502</v>
      </c>
      <c r="U30" s="30">
        <v>0.88709676265716553</v>
      </c>
      <c r="V30" s="32">
        <v>160</v>
      </c>
      <c r="W30" s="28">
        <v>8.6862106046305492</v>
      </c>
      <c r="X30" s="30">
        <v>0.9838709831237793</v>
      </c>
      <c r="Y30" s="3">
        <v>0.90163934230804443</v>
      </c>
      <c r="Z30" s="58">
        <v>45755</v>
      </c>
      <c r="AB30" s="12" t="s">
        <v>410</v>
      </c>
      <c r="AC30" s="2">
        <v>171</v>
      </c>
      <c r="AD30" s="97">
        <v>193</v>
      </c>
      <c r="AE30" s="97">
        <v>0</v>
      </c>
      <c r="AF30" s="12">
        <v>59.24</v>
      </c>
      <c r="AG30" s="30">
        <v>2.8865630626678467</v>
      </c>
      <c r="AH30" s="30">
        <v>0.84653466939926147</v>
      </c>
      <c r="AI30" s="32">
        <v>491.125</v>
      </c>
      <c r="AJ30" s="28">
        <v>8.2904285294529192</v>
      </c>
      <c r="AK30" s="30">
        <v>0.95544558763504028</v>
      </c>
      <c r="AL30" s="3">
        <v>0.88601034879684448</v>
      </c>
      <c r="AM30" s="58">
        <v>45801</v>
      </c>
    </row>
    <row r="31" spans="1:39" x14ac:dyDescent="0.3">
      <c r="B31" s="12" t="s">
        <v>408</v>
      </c>
      <c r="C31" s="2">
        <v>13</v>
      </c>
      <c r="D31" s="97">
        <v>13</v>
      </c>
      <c r="E31" s="97">
        <v>0</v>
      </c>
      <c r="F31" s="12">
        <v>3.34</v>
      </c>
      <c r="G31" s="30">
        <v>3.8922157287597656</v>
      </c>
      <c r="H31" s="30">
        <v>0.92857140302658081</v>
      </c>
      <c r="I31" s="32">
        <v>34</v>
      </c>
      <c r="J31" s="28">
        <v>10.179640980157364</v>
      </c>
      <c r="K31" s="30">
        <v>0.92857140302658081</v>
      </c>
      <c r="L31" s="3">
        <v>1</v>
      </c>
      <c r="M31" s="58">
        <v>45810</v>
      </c>
      <c r="O31" s="12" t="s">
        <v>395</v>
      </c>
      <c r="P31" s="2">
        <v>65</v>
      </c>
      <c r="Q31" s="97">
        <v>74</v>
      </c>
      <c r="R31" s="97">
        <v>0</v>
      </c>
      <c r="S31" s="12">
        <v>25.35</v>
      </c>
      <c r="T31" s="30">
        <v>2.5641024112701416</v>
      </c>
      <c r="U31" s="30">
        <v>0.79268288612365723</v>
      </c>
      <c r="V31" s="32">
        <v>247.125</v>
      </c>
      <c r="W31" s="28">
        <v>9.7485205633623089</v>
      </c>
      <c r="X31" s="30">
        <v>0.90243899822235107</v>
      </c>
      <c r="Y31" s="3">
        <v>0.87837839126586914</v>
      </c>
      <c r="Z31" s="58">
        <v>45729</v>
      </c>
      <c r="AB31" s="12" t="s">
        <v>481</v>
      </c>
      <c r="AC31" s="2">
        <v>176</v>
      </c>
      <c r="AD31" s="97">
        <v>197</v>
      </c>
      <c r="AE31" s="97">
        <v>0</v>
      </c>
      <c r="AF31" s="12">
        <v>68.63</v>
      </c>
      <c r="AG31" s="30">
        <v>2.5644762516021729</v>
      </c>
      <c r="AH31" s="30">
        <v>0.84210526943206787</v>
      </c>
      <c r="AI31" s="32">
        <v>542.75</v>
      </c>
      <c r="AJ31" s="28">
        <v>7.9083494349545456</v>
      </c>
      <c r="AK31" s="30">
        <v>0.94258379936218262</v>
      </c>
      <c r="AL31" s="3">
        <v>0.89340096712112427</v>
      </c>
      <c r="AM31" s="58">
        <v>45742</v>
      </c>
    </row>
    <row r="32" spans="1:39" x14ac:dyDescent="0.3">
      <c r="A32" s="12">
        <v>1</v>
      </c>
      <c r="B32" s="12" t="s">
        <v>395</v>
      </c>
      <c r="C32" s="2">
        <v>21</v>
      </c>
      <c r="D32" s="97">
        <v>28</v>
      </c>
      <c r="E32" s="97">
        <v>0</v>
      </c>
      <c r="F32" s="12">
        <v>6.74</v>
      </c>
      <c r="G32" s="30">
        <v>3.1157271862030029</v>
      </c>
      <c r="H32" s="30">
        <v>0.67741936445236206</v>
      </c>
      <c r="I32" s="32">
        <v>72.9375</v>
      </c>
      <c r="J32" s="28">
        <v>10.821587904579363</v>
      </c>
      <c r="K32" s="30">
        <v>0.90322577953338623</v>
      </c>
      <c r="L32" s="3">
        <v>0.75000005960464478</v>
      </c>
      <c r="M32" s="58">
        <v>45810</v>
      </c>
      <c r="N32" s="12">
        <v>1</v>
      </c>
      <c r="O32" s="12" t="s">
        <v>564</v>
      </c>
      <c r="P32" s="2">
        <v>48</v>
      </c>
      <c r="Q32" s="97">
        <v>71</v>
      </c>
      <c r="R32" s="97">
        <v>0</v>
      </c>
      <c r="S32" s="12">
        <v>24.83</v>
      </c>
      <c r="T32" s="30">
        <v>1.9331454038619995</v>
      </c>
      <c r="U32" s="30">
        <v>0.60759496688842773</v>
      </c>
      <c r="V32" s="32">
        <v>221.0625</v>
      </c>
      <c r="W32" s="28">
        <v>8.9030407039568313</v>
      </c>
      <c r="X32" s="30">
        <v>0.89873415231704712</v>
      </c>
      <c r="Y32" s="3">
        <v>0.6760563850402832</v>
      </c>
      <c r="Z32" s="58">
        <v>45762</v>
      </c>
      <c r="AA32" s="12">
        <v>1</v>
      </c>
      <c r="AB32" s="12" t="s">
        <v>407</v>
      </c>
      <c r="AC32" s="2">
        <v>128</v>
      </c>
      <c r="AD32" s="97">
        <v>165</v>
      </c>
      <c r="AE32" s="97">
        <v>0</v>
      </c>
      <c r="AF32" s="12">
        <v>59.12</v>
      </c>
      <c r="AG32" s="30">
        <v>2.1650879383087158</v>
      </c>
      <c r="AH32" s="30">
        <v>0.72727274894714355</v>
      </c>
      <c r="AI32" s="32">
        <v>439.6875</v>
      </c>
      <c r="AJ32" s="28">
        <v>7.4372041262481572</v>
      </c>
      <c r="AK32" s="30">
        <v>0.93750005960464478</v>
      </c>
      <c r="AL32" s="3">
        <v>0.7757575511932373</v>
      </c>
      <c r="AM32" s="58">
        <v>45750</v>
      </c>
    </row>
    <row r="33" spans="1:39" x14ac:dyDescent="0.3">
      <c r="A33" s="12">
        <v>2</v>
      </c>
      <c r="B33" s="12" t="s">
        <v>395</v>
      </c>
      <c r="C33" s="2">
        <v>16</v>
      </c>
      <c r="D33" s="97">
        <v>24</v>
      </c>
      <c r="E33" s="97">
        <v>0</v>
      </c>
      <c r="F33" s="12">
        <v>7.61</v>
      </c>
      <c r="G33" s="30">
        <v>2.1024966239929199</v>
      </c>
      <c r="H33" s="30">
        <v>0.5517241358757019</v>
      </c>
      <c r="I33" s="32">
        <v>88.4375</v>
      </c>
      <c r="J33" s="28">
        <v>11.621221872325819</v>
      </c>
      <c r="K33" s="30">
        <v>0.82758617401123047</v>
      </c>
      <c r="L33" s="3">
        <v>0.66666668653488159</v>
      </c>
      <c r="M33" s="58">
        <v>45763</v>
      </c>
      <c r="N33" s="12">
        <v>2</v>
      </c>
      <c r="O33" s="12" t="s">
        <v>565</v>
      </c>
      <c r="P33" s="2">
        <v>42</v>
      </c>
      <c r="Q33" s="97">
        <v>68</v>
      </c>
      <c r="R33" s="97">
        <v>0</v>
      </c>
      <c r="S33" s="12">
        <v>21.37</v>
      </c>
      <c r="T33" s="30">
        <v>1.9653719663619995</v>
      </c>
      <c r="U33" s="30">
        <v>0.54545456171035767</v>
      </c>
      <c r="V33" s="32">
        <v>188.4375</v>
      </c>
      <c r="W33" s="28">
        <v>8.8178517828621565</v>
      </c>
      <c r="X33" s="30">
        <v>0.88311690092086792</v>
      </c>
      <c r="Y33" s="3">
        <v>0.61764711141586304</v>
      </c>
      <c r="Z33" s="58">
        <v>45763</v>
      </c>
      <c r="AA33" s="12">
        <v>2</v>
      </c>
      <c r="AB33" s="12" t="s">
        <v>559</v>
      </c>
      <c r="AC33" s="2">
        <v>149</v>
      </c>
      <c r="AD33" s="97">
        <v>193</v>
      </c>
      <c r="AE33" s="97">
        <v>0</v>
      </c>
      <c r="AF33" s="12">
        <v>73.989999999999995</v>
      </c>
      <c r="AG33" s="30">
        <v>2.0137856006622314</v>
      </c>
      <c r="AH33" s="30">
        <v>0.7198067307472229</v>
      </c>
      <c r="AI33" s="32">
        <v>761.9375</v>
      </c>
      <c r="AJ33" s="28">
        <v>10.297844600602371</v>
      </c>
      <c r="AK33" s="30">
        <v>0.93236714601516724</v>
      </c>
      <c r="AL33" s="3">
        <v>0.77202069759368896</v>
      </c>
      <c r="AM33" s="58">
        <v>45804</v>
      </c>
    </row>
    <row r="34" spans="1:39" x14ac:dyDescent="0.3">
      <c r="A34" s="12">
        <v>3</v>
      </c>
      <c r="B34" s="12" t="s">
        <v>395</v>
      </c>
      <c r="C34" s="2">
        <v>15</v>
      </c>
      <c r="D34" s="97">
        <v>24</v>
      </c>
      <c r="E34" s="97">
        <v>0</v>
      </c>
      <c r="F34" s="12">
        <v>6.35</v>
      </c>
      <c r="G34" s="30">
        <v>2.3622047901153564</v>
      </c>
      <c r="H34" s="30">
        <v>0.53571426868438721</v>
      </c>
      <c r="I34" s="32">
        <v>65</v>
      </c>
      <c r="J34" s="28">
        <v>10.236220626173555</v>
      </c>
      <c r="K34" s="30">
        <v>0.85714280605316162</v>
      </c>
      <c r="L34" s="3">
        <v>0.625</v>
      </c>
      <c r="M34" s="58">
        <v>45763</v>
      </c>
      <c r="N34" s="12">
        <v>3</v>
      </c>
      <c r="O34" s="12" t="s">
        <v>566</v>
      </c>
      <c r="P34" s="2">
        <v>68</v>
      </c>
      <c r="Q34" s="97">
        <v>92</v>
      </c>
      <c r="R34" s="97">
        <v>0</v>
      </c>
      <c r="S34" s="12">
        <v>24.79</v>
      </c>
      <c r="T34" s="30">
        <v>2.7430415153503418</v>
      </c>
      <c r="U34" s="30">
        <v>0.66666668653488159</v>
      </c>
      <c r="V34" s="32">
        <v>210</v>
      </c>
      <c r="W34" s="28">
        <v>8.4711574120380693</v>
      </c>
      <c r="X34" s="30">
        <v>0.90196084976196289</v>
      </c>
      <c r="Y34" s="3">
        <v>0.73913043737411499</v>
      </c>
      <c r="Z34" s="58">
        <v>45761</v>
      </c>
      <c r="AA34" s="12">
        <v>3</v>
      </c>
      <c r="AB34" s="12" t="s">
        <v>449</v>
      </c>
      <c r="AC34" s="2">
        <v>147</v>
      </c>
      <c r="AD34" s="97">
        <v>197</v>
      </c>
      <c r="AE34" s="97">
        <v>0</v>
      </c>
      <c r="AF34" s="12">
        <v>70</v>
      </c>
      <c r="AG34" s="30">
        <v>2.0999999046325684</v>
      </c>
      <c r="AH34" s="30">
        <v>0.68372088670730591</v>
      </c>
      <c r="AI34" s="32">
        <v>612.5</v>
      </c>
      <c r="AJ34" s="28">
        <v>8.75</v>
      </c>
      <c r="AK34" s="30">
        <v>0.91627907752990723</v>
      </c>
      <c r="AL34" s="3">
        <v>0.74619287252426147</v>
      </c>
      <c r="AM34" s="58">
        <v>45786</v>
      </c>
    </row>
    <row r="35" spans="1:39" x14ac:dyDescent="0.3">
      <c r="B35" s="12" t="s">
        <v>423</v>
      </c>
      <c r="C35" s="2">
        <v>16</v>
      </c>
      <c r="D35" s="97">
        <v>20</v>
      </c>
      <c r="E35" s="97">
        <v>0</v>
      </c>
      <c r="F35" s="12">
        <v>6.35</v>
      </c>
      <c r="G35" s="30">
        <v>2.5196850299835205</v>
      </c>
      <c r="H35" s="30">
        <v>0.61538463830947876</v>
      </c>
      <c r="I35" s="32">
        <v>52.375</v>
      </c>
      <c r="J35" s="28">
        <v>8.2480316199359986</v>
      </c>
      <c r="K35" s="30">
        <v>0.76923078298568726</v>
      </c>
      <c r="L35" s="3">
        <v>0.80000001192092896</v>
      </c>
      <c r="M35" s="58">
        <v>45761</v>
      </c>
      <c r="O35" s="12" t="s">
        <v>436</v>
      </c>
      <c r="P35" s="2">
        <v>47</v>
      </c>
      <c r="Q35" s="97">
        <v>59</v>
      </c>
      <c r="R35" s="97">
        <v>0</v>
      </c>
      <c r="S35" s="12">
        <v>18.760000000000002</v>
      </c>
      <c r="T35" s="30">
        <v>2.5053305625915527</v>
      </c>
      <c r="U35" s="30">
        <v>0.73437505960464478</v>
      </c>
      <c r="V35" s="32">
        <v>187.5</v>
      </c>
      <c r="W35" s="28">
        <v>9.9946693876546764</v>
      </c>
      <c r="X35" s="30">
        <v>0.921875</v>
      </c>
      <c r="Y35" s="3">
        <v>0.79661023616790771</v>
      </c>
      <c r="Z35" s="58">
        <v>45805</v>
      </c>
      <c r="AB35" s="12" t="s">
        <v>449</v>
      </c>
      <c r="AC35" s="2">
        <v>138</v>
      </c>
      <c r="AD35" s="97">
        <v>182</v>
      </c>
      <c r="AE35" s="97">
        <v>0</v>
      </c>
      <c r="AF35" s="12">
        <v>62.79</v>
      </c>
      <c r="AG35" s="30">
        <v>2.1978020668029785</v>
      </c>
      <c r="AH35" s="30">
        <v>0.70050758123397827</v>
      </c>
      <c r="AI35" s="32">
        <v>531.5</v>
      </c>
      <c r="AJ35" s="28">
        <v>8.4647235586926914</v>
      </c>
      <c r="AK35" s="30">
        <v>0.9238579273223877</v>
      </c>
      <c r="AL35" s="3">
        <v>0.75824171304702759</v>
      </c>
      <c r="AM35" s="58">
        <v>45767</v>
      </c>
    </row>
    <row r="36" spans="1:39" x14ac:dyDescent="0.3">
      <c r="B36" s="12" t="s">
        <v>423</v>
      </c>
      <c r="C36" s="2">
        <v>22</v>
      </c>
      <c r="D36" s="97">
        <v>33</v>
      </c>
      <c r="E36" s="97">
        <v>0</v>
      </c>
      <c r="F36" s="12">
        <v>8.68</v>
      </c>
      <c r="G36" s="30">
        <v>2.5345621109008789</v>
      </c>
      <c r="H36" s="30">
        <v>0.6111111044883728</v>
      </c>
      <c r="I36" s="32">
        <v>73.75</v>
      </c>
      <c r="J36" s="28">
        <v>8.4965434800761184</v>
      </c>
      <c r="K36" s="30">
        <v>0.91666668653488159</v>
      </c>
      <c r="L36" s="3">
        <v>0.66666668653488159</v>
      </c>
      <c r="M36" s="58">
        <v>45720</v>
      </c>
      <c r="O36" s="12" t="s">
        <v>439</v>
      </c>
      <c r="P36" s="2">
        <v>68</v>
      </c>
      <c r="Q36" s="97">
        <v>101</v>
      </c>
      <c r="R36" s="97">
        <v>0</v>
      </c>
      <c r="S36" s="12">
        <v>27.88</v>
      </c>
      <c r="T36" s="30">
        <v>2.4390244483947754</v>
      </c>
      <c r="U36" s="30">
        <v>0.59130436182022095</v>
      </c>
      <c r="V36" s="32">
        <v>262.4375</v>
      </c>
      <c r="W36" s="28">
        <v>9.4131100394475009</v>
      </c>
      <c r="X36" s="30">
        <v>0.87826091051101685</v>
      </c>
      <c r="Y36" s="3">
        <v>0.67326730489730835</v>
      </c>
      <c r="Z36" s="58">
        <v>45805</v>
      </c>
      <c r="AB36" s="12" t="s">
        <v>835</v>
      </c>
      <c r="AC36" s="2">
        <v>157</v>
      </c>
      <c r="AD36" s="97">
        <v>207</v>
      </c>
      <c r="AE36" s="97">
        <v>0</v>
      </c>
      <c r="AF36" s="12">
        <v>80.66</v>
      </c>
      <c r="AG36" s="30">
        <v>1.9464417695999146</v>
      </c>
      <c r="AH36" s="30">
        <v>0.67381978034973145</v>
      </c>
      <c r="AI36" s="32">
        <v>662.1875</v>
      </c>
      <c r="AJ36" s="28">
        <v>8.2096140582134307</v>
      </c>
      <c r="AK36" s="30">
        <v>0.8884119987487793</v>
      </c>
      <c r="AL36" s="3">
        <v>0.75845414400100708</v>
      </c>
      <c r="AM36" s="58">
        <v>45708</v>
      </c>
    </row>
    <row r="37" spans="1:39" x14ac:dyDescent="0.3">
      <c r="A37" s="12">
        <v>1</v>
      </c>
      <c r="B37" s="12" t="s">
        <v>479</v>
      </c>
      <c r="C37" s="2">
        <v>13</v>
      </c>
      <c r="D37" s="97">
        <v>23</v>
      </c>
      <c r="E37" s="97">
        <v>0</v>
      </c>
      <c r="F37" s="12">
        <v>6.07</v>
      </c>
      <c r="G37" s="30">
        <v>2.1416802406311035</v>
      </c>
      <c r="H37" s="30">
        <v>0.5</v>
      </c>
      <c r="I37" s="32">
        <v>55.25</v>
      </c>
      <c r="J37" s="28">
        <v>9.1021414229841628</v>
      </c>
      <c r="K37" s="30">
        <v>0.88461542129516602</v>
      </c>
      <c r="L37" s="3">
        <v>0.56521737575531006</v>
      </c>
      <c r="M37" s="58">
        <v>45810</v>
      </c>
      <c r="N37" s="12">
        <v>1</v>
      </c>
      <c r="O37" s="12" t="s">
        <v>473</v>
      </c>
      <c r="P37" s="2">
        <v>70</v>
      </c>
      <c r="Q37" s="97">
        <v>99</v>
      </c>
      <c r="R37" s="97">
        <v>0</v>
      </c>
      <c r="S37" s="12">
        <v>34.340000000000003</v>
      </c>
      <c r="T37" s="30">
        <v>2.0384390354156494</v>
      </c>
      <c r="U37" s="30">
        <v>0.6086956262588501</v>
      </c>
      <c r="V37" s="32">
        <v>290.125</v>
      </c>
      <c r="W37" s="28">
        <v>8.4486021756215965</v>
      </c>
      <c r="X37" s="30">
        <v>0.86086952686309814</v>
      </c>
      <c r="Y37" s="3">
        <v>0.70707070827484131</v>
      </c>
      <c r="Z37" s="58">
        <v>45763</v>
      </c>
      <c r="AA37" s="12">
        <v>1</v>
      </c>
      <c r="AB37" s="12" t="s">
        <v>567</v>
      </c>
      <c r="AC37" s="2">
        <v>151</v>
      </c>
      <c r="AD37" s="97">
        <v>202</v>
      </c>
      <c r="AE37" s="97">
        <v>0</v>
      </c>
      <c r="AF37" s="12">
        <v>69.61</v>
      </c>
      <c r="AG37" s="30">
        <v>2.1692285537719727</v>
      </c>
      <c r="AH37" s="30">
        <v>0.69266057014465332</v>
      </c>
      <c r="AI37" s="32">
        <v>585.625</v>
      </c>
      <c r="AJ37" s="28">
        <v>8.412943468828427</v>
      </c>
      <c r="AK37" s="30">
        <v>0.92660552263259888</v>
      </c>
      <c r="AL37" s="3">
        <v>0.74752473831176758</v>
      </c>
      <c r="AM37" s="58">
        <v>45765</v>
      </c>
    </row>
    <row r="38" spans="1:39" x14ac:dyDescent="0.3">
      <c r="A38" s="12">
        <v>2</v>
      </c>
      <c r="B38" s="12" t="s">
        <v>568</v>
      </c>
      <c r="C38" s="2">
        <v>10</v>
      </c>
      <c r="D38" s="97">
        <v>19</v>
      </c>
      <c r="E38" s="97">
        <v>0</v>
      </c>
      <c r="F38" s="12">
        <v>5.39</v>
      </c>
      <c r="G38" s="30">
        <v>1.8552876710891724</v>
      </c>
      <c r="H38" s="30">
        <v>0.41666668653488159</v>
      </c>
      <c r="I38" s="32">
        <v>52.0625</v>
      </c>
      <c r="J38" s="28">
        <v>9.6590911483539514</v>
      </c>
      <c r="K38" s="30">
        <v>0.79166674613952637</v>
      </c>
      <c r="L38" s="3">
        <v>0.52631580829620361</v>
      </c>
      <c r="M38" s="58">
        <v>45810</v>
      </c>
      <c r="N38" s="12">
        <v>2</v>
      </c>
      <c r="O38" s="12" t="s">
        <v>451</v>
      </c>
      <c r="P38" s="2">
        <v>62</v>
      </c>
      <c r="Q38" s="97">
        <v>99</v>
      </c>
      <c r="R38" s="97">
        <v>0</v>
      </c>
      <c r="S38" s="12">
        <v>27.72</v>
      </c>
      <c r="T38" s="30">
        <v>2.2366523742675781</v>
      </c>
      <c r="U38" s="30">
        <v>0.56363636255264282</v>
      </c>
      <c r="V38" s="32">
        <v>215</v>
      </c>
      <c r="W38" s="28">
        <v>7.7561329482580756</v>
      </c>
      <c r="X38" s="30">
        <v>0.90000003576278687</v>
      </c>
      <c r="Y38" s="3">
        <v>0.6262626051902771</v>
      </c>
      <c r="Z38" s="58">
        <v>45763</v>
      </c>
      <c r="AA38" s="12">
        <v>2</v>
      </c>
      <c r="AB38" s="12" t="s">
        <v>569</v>
      </c>
      <c r="AC38" s="2">
        <v>145</v>
      </c>
      <c r="AD38" s="97">
        <v>205</v>
      </c>
      <c r="AE38" s="97">
        <v>0</v>
      </c>
      <c r="AF38" s="12">
        <v>72.64</v>
      </c>
      <c r="AG38" s="30">
        <v>1.9961453676223755</v>
      </c>
      <c r="AH38" s="30">
        <v>0.64159291982650757</v>
      </c>
      <c r="AI38" s="32">
        <v>567.0625</v>
      </c>
      <c r="AJ38" s="28">
        <v>7.8064772131703686</v>
      </c>
      <c r="AK38" s="30">
        <v>0.90707969665527344</v>
      </c>
      <c r="AL38" s="3">
        <v>0.707317054271698</v>
      </c>
      <c r="AM38" s="58">
        <v>45769</v>
      </c>
    </row>
    <row r="39" spans="1:39" x14ac:dyDescent="0.3">
      <c r="A39" s="12">
        <v>3</v>
      </c>
      <c r="B39" s="12" t="s">
        <v>568</v>
      </c>
      <c r="C39" s="2">
        <v>16</v>
      </c>
      <c r="D39" s="97">
        <v>27</v>
      </c>
      <c r="E39" s="97">
        <v>0</v>
      </c>
      <c r="F39" s="12">
        <v>6.46</v>
      </c>
      <c r="G39" s="30">
        <v>2.4767801761627197</v>
      </c>
      <c r="H39" s="30">
        <v>0.53333330154418945</v>
      </c>
      <c r="I39" s="32">
        <v>61.375</v>
      </c>
      <c r="J39" s="28">
        <v>9.5007739377049898</v>
      </c>
      <c r="K39" s="30">
        <v>0.89999997615814209</v>
      </c>
      <c r="L39" s="3">
        <v>0.59259259700775146</v>
      </c>
      <c r="M39" s="58">
        <v>45810</v>
      </c>
      <c r="N39" s="12">
        <v>3</v>
      </c>
      <c r="O39" s="12" t="s">
        <v>549</v>
      </c>
      <c r="P39" s="2">
        <v>54</v>
      </c>
      <c r="Q39" s="97">
        <v>78</v>
      </c>
      <c r="R39" s="97">
        <v>0</v>
      </c>
      <c r="S39" s="12">
        <v>25.42</v>
      </c>
      <c r="T39" s="30">
        <v>2.1243114471435547</v>
      </c>
      <c r="U39" s="30">
        <v>0.5934065580368042</v>
      </c>
      <c r="V39" s="32">
        <v>202.875</v>
      </c>
      <c r="W39" s="28">
        <v>7.9809205110583825</v>
      </c>
      <c r="X39" s="30">
        <v>0.8571428656578064</v>
      </c>
      <c r="Y39" s="3">
        <v>0.69230765104293823</v>
      </c>
      <c r="Z39" s="58">
        <v>45704</v>
      </c>
      <c r="AA39" s="12">
        <v>3</v>
      </c>
      <c r="AB39" s="12" t="s">
        <v>570</v>
      </c>
      <c r="AC39" s="2">
        <v>155</v>
      </c>
      <c r="AD39" s="97">
        <v>210</v>
      </c>
      <c r="AE39" s="97">
        <v>0</v>
      </c>
      <c r="AF39" s="12">
        <v>77.95</v>
      </c>
      <c r="AG39" s="30">
        <v>1.9884542226791382</v>
      </c>
      <c r="AH39" s="30">
        <v>0.6828194260597229</v>
      </c>
      <c r="AI39" s="32">
        <v>630.0625</v>
      </c>
      <c r="AJ39" s="28">
        <v>8.0829060252350438</v>
      </c>
      <c r="AK39" s="30">
        <v>0.92511016130447388</v>
      </c>
      <c r="AL39" s="3">
        <v>0.73809522390365601</v>
      </c>
      <c r="AM39" s="58">
        <v>45751</v>
      </c>
    </row>
    <row r="40" spans="1:39" x14ac:dyDescent="0.3">
      <c r="B40" s="12" t="s">
        <v>479</v>
      </c>
      <c r="C40" s="2">
        <v>8</v>
      </c>
      <c r="D40" s="97">
        <v>19</v>
      </c>
      <c r="E40" s="97">
        <v>0</v>
      </c>
      <c r="F40" s="12">
        <v>5.88</v>
      </c>
      <c r="G40" s="30">
        <v>1.3605442047119141</v>
      </c>
      <c r="H40" s="30">
        <v>0.36363637447357178</v>
      </c>
      <c r="I40" s="32">
        <v>52.5625</v>
      </c>
      <c r="J40" s="28">
        <v>8.9392005062907636</v>
      </c>
      <c r="K40" s="30">
        <v>0.86363637447357178</v>
      </c>
      <c r="L40" s="3">
        <v>0.42105263471603394</v>
      </c>
      <c r="M40" s="58">
        <v>45804</v>
      </c>
      <c r="O40" s="12" t="s">
        <v>478</v>
      </c>
      <c r="P40" s="2">
        <v>69</v>
      </c>
      <c r="Q40" s="97">
        <v>97</v>
      </c>
      <c r="R40" s="97">
        <v>0</v>
      </c>
      <c r="S40" s="12">
        <v>28.71</v>
      </c>
      <c r="T40" s="30">
        <v>2.4033439159393311</v>
      </c>
      <c r="U40" s="30">
        <v>0.62727272510528564</v>
      </c>
      <c r="V40" s="32">
        <v>229.125</v>
      </c>
      <c r="W40" s="28">
        <v>7.9806690110247542</v>
      </c>
      <c r="X40" s="30">
        <v>0.88181817531585693</v>
      </c>
      <c r="Y40" s="3">
        <v>0.71134018898010254</v>
      </c>
      <c r="Z40" s="58">
        <v>45766</v>
      </c>
      <c r="AB40" s="12" t="s">
        <v>571</v>
      </c>
      <c r="AC40" s="2">
        <v>174</v>
      </c>
      <c r="AD40" s="97">
        <v>232</v>
      </c>
      <c r="AE40" s="97">
        <v>0</v>
      </c>
      <c r="AF40" s="12">
        <v>74.25</v>
      </c>
      <c r="AG40" s="30">
        <v>2.3434343338012695</v>
      </c>
      <c r="AH40" s="30">
        <v>0.70161288976669312</v>
      </c>
      <c r="AI40" s="32">
        <v>561.1875</v>
      </c>
      <c r="AJ40" s="28">
        <v>7.558080808080808</v>
      </c>
      <c r="AK40" s="30">
        <v>0.93548387289047241</v>
      </c>
      <c r="AL40" s="3">
        <v>0.75</v>
      </c>
      <c r="AM40" s="58">
        <v>45709</v>
      </c>
    </row>
    <row r="41" spans="1:39" x14ac:dyDescent="0.3">
      <c r="B41" s="12" t="s">
        <v>568</v>
      </c>
      <c r="C41" s="2">
        <v>17</v>
      </c>
      <c r="D41" s="97">
        <v>27</v>
      </c>
      <c r="E41" s="97">
        <v>0</v>
      </c>
      <c r="F41" s="12">
        <v>7.18</v>
      </c>
      <c r="G41" s="30">
        <v>2.3676881790161133</v>
      </c>
      <c r="H41" s="30">
        <v>0.58620691299438477</v>
      </c>
      <c r="I41" s="32">
        <v>65.875</v>
      </c>
      <c r="J41" s="28">
        <v>9.1747913057043604</v>
      </c>
      <c r="K41" s="30">
        <v>0.93103450536727905</v>
      </c>
      <c r="L41" s="3">
        <v>0.62962967157363892</v>
      </c>
      <c r="M41" s="58">
        <v>45793</v>
      </c>
      <c r="O41" s="12" t="s">
        <v>435</v>
      </c>
      <c r="P41" s="2">
        <v>74</v>
      </c>
      <c r="Q41" s="97">
        <v>104</v>
      </c>
      <c r="R41" s="97">
        <v>0</v>
      </c>
      <c r="S41" s="12">
        <v>28.37</v>
      </c>
      <c r="T41" s="30">
        <v>2.608389139175415</v>
      </c>
      <c r="U41" s="30">
        <v>0.63793104887008667</v>
      </c>
      <c r="V41" s="32">
        <v>220.125</v>
      </c>
      <c r="W41" s="28">
        <v>7.7590762597223852</v>
      </c>
      <c r="X41" s="30">
        <v>0.89655172824859619</v>
      </c>
      <c r="Y41" s="3">
        <v>0.71153843402862549</v>
      </c>
      <c r="Z41" s="58">
        <v>45764</v>
      </c>
      <c r="AB41" s="12" t="s">
        <v>836</v>
      </c>
      <c r="AC41" s="2">
        <v>175</v>
      </c>
      <c r="AD41" s="97">
        <v>224</v>
      </c>
      <c r="AE41" s="97">
        <v>0</v>
      </c>
      <c r="AF41" s="12">
        <v>72.64</v>
      </c>
      <c r="AG41" s="30">
        <v>2.4091410636901855</v>
      </c>
      <c r="AH41" s="30">
        <v>0.72314047813415527</v>
      </c>
      <c r="AI41" s="32">
        <v>583.8125</v>
      </c>
      <c r="AJ41" s="28">
        <v>8.0370664221563342</v>
      </c>
      <c r="AK41" s="30">
        <v>0.92561978101730347</v>
      </c>
      <c r="AL41" s="3">
        <v>0.78125005960464478</v>
      </c>
      <c r="AM41" s="58">
        <v>45793</v>
      </c>
    </row>
  </sheetData>
  <phoneticPr fontId="1" type="noConversion"/>
  <conditionalFormatting sqref="M1:M1048576 Z1:Z1048576 AM1:AM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1:I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:AI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1:U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1:H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1:D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Q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1:AD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AM1048576">
    <cfRule type="expression" dxfId="11" priority="11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FFC000"/>
  </sheetPr>
  <dimension ref="A1:AH375"/>
  <sheetViews>
    <sheetView workbookViewId="0">
      <pane ySplit="1" topLeftCell="A2" activePane="bottomLeft" state="frozen"/>
      <selection pane="bottomLeft" activeCell="AE1" sqref="AE1"/>
    </sheetView>
  </sheetViews>
  <sheetFormatPr defaultColWidth="9" defaultRowHeight="12.9" x14ac:dyDescent="0.3"/>
  <cols>
    <col min="1" max="1" width="3.84375" style="105" bestFit="1" customWidth="1"/>
    <col min="2" max="2" width="8.23046875" style="2" bestFit="1" customWidth="1"/>
    <col min="3" max="3" width="5.69140625" style="2" bestFit="1" customWidth="1"/>
    <col min="4" max="4" width="5.3046875" style="45" bestFit="1" customWidth="1"/>
    <col min="5" max="5" width="4.765625" style="45" bestFit="1" customWidth="1"/>
    <col min="6" max="6" width="4.69140625" style="45" bestFit="1" customWidth="1"/>
    <col min="7" max="7" width="4.69140625" style="57" bestFit="1" customWidth="1"/>
    <col min="8" max="8" width="3.84375" style="2" bestFit="1" customWidth="1"/>
    <col min="9" max="9" width="2.69140625" style="2" bestFit="1" customWidth="1"/>
    <col min="10" max="10" width="6.765625" style="58" bestFit="1" customWidth="1"/>
    <col min="11" max="11" width="3.84375" style="105" bestFit="1" customWidth="1"/>
    <col min="12" max="12" width="8.23046875" style="2" bestFit="1" customWidth="1"/>
    <col min="13" max="13" width="5.69140625" style="2" bestFit="1" customWidth="1"/>
    <col min="14" max="14" width="5.3046875" style="45" bestFit="1" customWidth="1"/>
    <col min="15" max="15" width="4.765625" style="45" bestFit="1" customWidth="1"/>
    <col min="16" max="16" width="4.69140625" style="45" bestFit="1" customWidth="1"/>
    <col min="17" max="17" width="4.69140625" style="57" bestFit="1" customWidth="1"/>
    <col min="18" max="18" width="3.84375" style="2" bestFit="1" customWidth="1"/>
    <col min="19" max="19" width="2.69140625" style="2" bestFit="1" customWidth="1"/>
    <col min="20" max="20" width="6.765625" style="34" bestFit="1" customWidth="1"/>
    <col min="21" max="21" width="3.84375" style="105" bestFit="1" customWidth="1"/>
    <col min="22" max="22" width="8.23046875" style="2" bestFit="1" customWidth="1"/>
    <col min="23" max="23" width="6.61328125" style="2" bestFit="1" customWidth="1"/>
    <col min="24" max="24" width="5.3046875" style="45" bestFit="1" customWidth="1"/>
    <col min="25" max="25" width="4.765625" style="45" bestFit="1" customWidth="1"/>
    <col min="26" max="26" width="4.69140625" style="45" bestFit="1" customWidth="1"/>
    <col min="27" max="27" width="4.69140625" style="57" bestFit="1" customWidth="1"/>
    <col min="28" max="28" width="3.84375" style="2" bestFit="1" customWidth="1"/>
    <col min="29" max="29" width="2.69140625" style="2" bestFit="1" customWidth="1"/>
    <col min="30" max="30" width="6.765625" style="34" bestFit="1" customWidth="1"/>
    <col min="31" max="31" width="2.921875" style="105" bestFit="1" customWidth="1"/>
    <col min="32" max="32" width="4.765625" style="12" bestFit="1" customWidth="1"/>
    <col min="33" max="33" width="8.84375" style="12" bestFit="1" customWidth="1"/>
    <col min="34" max="34" width="5.921875" style="144" bestFit="1" customWidth="1"/>
    <col min="35" max="16384" width="9" style="6"/>
  </cols>
  <sheetData>
    <row r="1" spans="1:34" x14ac:dyDescent="0.3">
      <c r="A1" s="105" t="s">
        <v>50</v>
      </c>
      <c r="B1" s="14" t="s">
        <v>92</v>
      </c>
      <c r="C1" s="14" t="s">
        <v>42</v>
      </c>
      <c r="D1" s="92" t="s">
        <v>0</v>
      </c>
      <c r="E1" s="92" t="s">
        <v>11</v>
      </c>
      <c r="F1" s="92" t="s">
        <v>8</v>
      </c>
      <c r="G1" s="100" t="s">
        <v>10</v>
      </c>
      <c r="H1" s="14" t="s">
        <v>203</v>
      </c>
      <c r="I1" s="14" t="s">
        <v>294</v>
      </c>
      <c r="J1" s="96" t="s">
        <v>55</v>
      </c>
      <c r="K1" s="105" t="str">
        <f>A1</f>
        <v>Bv</v>
      </c>
      <c r="L1" s="14" t="s">
        <v>92</v>
      </c>
      <c r="M1" s="14" t="s">
        <v>53</v>
      </c>
      <c r="N1" s="92" t="s">
        <v>0</v>
      </c>
      <c r="O1" s="92" t="s">
        <v>9</v>
      </c>
      <c r="P1" s="92" t="s">
        <v>8</v>
      </c>
      <c r="Q1" s="100" t="s">
        <v>10</v>
      </c>
      <c r="R1" s="14" t="s">
        <v>203</v>
      </c>
      <c r="S1" s="14" t="s">
        <v>294</v>
      </c>
      <c r="T1" s="96" t="s">
        <v>55</v>
      </c>
      <c r="U1" s="105" t="str">
        <f>K1</f>
        <v>Bv</v>
      </c>
      <c r="V1" s="14" t="s">
        <v>92</v>
      </c>
      <c r="W1" s="14" t="s">
        <v>54</v>
      </c>
      <c r="X1" s="92" t="s">
        <v>0</v>
      </c>
      <c r="Y1" s="92" t="s">
        <v>9</v>
      </c>
      <c r="Z1" s="92" t="s">
        <v>8</v>
      </c>
      <c r="AA1" s="100" t="s">
        <v>10</v>
      </c>
      <c r="AB1" s="14" t="s">
        <v>203</v>
      </c>
      <c r="AC1" s="14" t="s">
        <v>294</v>
      </c>
      <c r="AD1" s="96" t="s">
        <v>55</v>
      </c>
      <c r="AE1" s="105" t="s">
        <v>241</v>
      </c>
      <c r="AF1" s="12" t="s">
        <v>240</v>
      </c>
      <c r="AG1" s="12" t="s">
        <v>280</v>
      </c>
      <c r="AH1" s="144" t="s">
        <v>242</v>
      </c>
    </row>
    <row r="2" spans="1:34" x14ac:dyDescent="0.3">
      <c r="T2" s="58"/>
      <c r="AD2" s="58"/>
    </row>
    <row r="3" spans="1:34" x14ac:dyDescent="0.3">
      <c r="A3" s="105">
        <v>3</v>
      </c>
      <c r="B3" s="2" t="s">
        <v>433</v>
      </c>
      <c r="C3" s="78">
        <v>2.66</v>
      </c>
      <c r="D3" s="174">
        <v>1.1278195381164551</v>
      </c>
      <c r="E3" s="175">
        <v>1.8796992301940918</v>
      </c>
      <c r="F3" s="308">
        <v>3.0075187683105469</v>
      </c>
      <c r="G3" s="186">
        <v>20.470335006713867</v>
      </c>
      <c r="H3" s="2">
        <v>5</v>
      </c>
      <c r="I3" s="2">
        <v>0</v>
      </c>
      <c r="J3" s="58">
        <v>45717</v>
      </c>
    </row>
    <row r="4" spans="1:34" x14ac:dyDescent="0.3">
      <c r="A4" s="105">
        <v>4</v>
      </c>
      <c r="B4" s="2" t="s">
        <v>391</v>
      </c>
      <c r="C4" s="78">
        <v>2.83</v>
      </c>
      <c r="D4" s="174">
        <v>1.4134275913238525</v>
      </c>
      <c r="E4" s="176">
        <v>2.8268551826477051</v>
      </c>
      <c r="F4" s="310">
        <v>3.5335690975189209</v>
      </c>
      <c r="G4" s="186">
        <v>24.565498352050781</v>
      </c>
      <c r="H4" s="2">
        <v>8</v>
      </c>
      <c r="I4" s="2">
        <v>0</v>
      </c>
      <c r="J4" s="58">
        <v>45722</v>
      </c>
      <c r="K4" s="105">
        <v>4</v>
      </c>
      <c r="L4" s="2" t="s">
        <v>405</v>
      </c>
      <c r="M4" s="78">
        <v>2.9</v>
      </c>
      <c r="N4" s="174">
        <v>1.3793102502822876</v>
      </c>
      <c r="O4" s="174">
        <v>1.3793102502822876</v>
      </c>
      <c r="P4" s="185">
        <v>2.0689654350280762</v>
      </c>
      <c r="Q4" s="186">
        <v>23.565998077392578</v>
      </c>
      <c r="R4" s="2">
        <v>4</v>
      </c>
      <c r="S4" s="2">
        <v>0</v>
      </c>
      <c r="T4" s="34">
        <v>45720</v>
      </c>
      <c r="AF4" s="12">
        <v>0.03</v>
      </c>
      <c r="AG4" s="12">
        <v>3.0000000000000002E-2</v>
      </c>
      <c r="AH4" s="144">
        <v>2.5000000000000001E-2</v>
      </c>
    </row>
    <row r="5" spans="1:34" x14ac:dyDescent="0.3">
      <c r="A5" s="105">
        <v>5</v>
      </c>
      <c r="B5" s="2" t="s">
        <v>496</v>
      </c>
      <c r="C5" s="18">
        <v>1.84</v>
      </c>
      <c r="D5" s="177">
        <v>2.7173912525177002</v>
      </c>
      <c r="E5" s="177">
        <v>2.7173912525177002</v>
      </c>
      <c r="F5" s="178">
        <v>3.2608695030212402</v>
      </c>
      <c r="G5" s="166">
        <v>63.838428497314453</v>
      </c>
      <c r="H5" s="2">
        <v>5</v>
      </c>
      <c r="I5" s="2">
        <v>0</v>
      </c>
      <c r="J5" s="58">
        <v>45762</v>
      </c>
      <c r="K5" s="105">
        <v>5</v>
      </c>
      <c r="L5" s="2" t="s">
        <v>405</v>
      </c>
      <c r="M5" s="18">
        <v>1.98</v>
      </c>
      <c r="N5" s="177">
        <v>2.5252525806427002</v>
      </c>
      <c r="O5" s="177">
        <v>2.5252525806427002</v>
      </c>
      <c r="P5" s="310">
        <v>3.535353422164917</v>
      </c>
      <c r="Q5" s="159">
        <v>56.356197357177734</v>
      </c>
      <c r="R5" s="2">
        <v>5</v>
      </c>
      <c r="S5" s="2">
        <v>0</v>
      </c>
      <c r="T5" s="34">
        <v>45721</v>
      </c>
      <c r="U5" s="105">
        <v>5</v>
      </c>
      <c r="V5" s="2" t="s">
        <v>391</v>
      </c>
      <c r="W5" s="77">
        <v>2.36</v>
      </c>
      <c r="X5" s="185">
        <v>2.1186442375183105</v>
      </c>
      <c r="Y5" s="178">
        <v>3.3898305892944336</v>
      </c>
      <c r="Z5" s="180">
        <v>3.8135595321655273</v>
      </c>
      <c r="AA5" s="158">
        <v>41.814041137695313</v>
      </c>
      <c r="AB5" s="2">
        <v>8</v>
      </c>
      <c r="AC5" s="2">
        <v>0</v>
      </c>
      <c r="AD5" s="34">
        <v>45706</v>
      </c>
      <c r="AF5" s="12">
        <v>0.19</v>
      </c>
      <c r="AG5" s="12">
        <v>0.45</v>
      </c>
      <c r="AH5" s="144">
        <v>7.5999999999999998E-2</v>
      </c>
    </row>
    <row r="6" spans="1:34" x14ac:dyDescent="0.3">
      <c r="A6" s="105">
        <v>6</v>
      </c>
      <c r="B6" s="2" t="s">
        <v>394</v>
      </c>
      <c r="C6" s="79">
        <v>3.07</v>
      </c>
      <c r="D6" s="175">
        <v>1.954397439956665</v>
      </c>
      <c r="E6" s="175">
        <v>1.954397439956665</v>
      </c>
      <c r="F6" s="179">
        <v>2.2801303863525391</v>
      </c>
      <c r="G6" s="172">
        <v>32.086215972900391</v>
      </c>
      <c r="H6" s="2">
        <v>6</v>
      </c>
      <c r="I6" s="2">
        <v>0</v>
      </c>
      <c r="J6" s="58">
        <v>45761</v>
      </c>
      <c r="K6" s="105">
        <v>6</v>
      </c>
      <c r="L6" s="2" t="s">
        <v>493</v>
      </c>
      <c r="M6" s="79">
        <v>3.18</v>
      </c>
      <c r="N6" s="175">
        <v>1.8867924213409424</v>
      </c>
      <c r="O6" s="176">
        <v>2.830188512802124</v>
      </c>
      <c r="P6" s="180">
        <v>3.7735848426818848</v>
      </c>
      <c r="Q6" s="172">
        <v>30.222309112548828</v>
      </c>
      <c r="R6" s="2">
        <v>9</v>
      </c>
      <c r="S6" s="2">
        <v>0</v>
      </c>
      <c r="T6" s="34">
        <v>45810</v>
      </c>
      <c r="U6" s="105">
        <v>6</v>
      </c>
      <c r="V6" s="2" t="s">
        <v>400</v>
      </c>
      <c r="W6" s="79">
        <v>3.38</v>
      </c>
      <c r="X6" s="175">
        <v>1.7751479148864746</v>
      </c>
      <c r="Y6" s="177">
        <v>2.6627218723297119</v>
      </c>
      <c r="Z6" s="176">
        <v>2.9585797786712646</v>
      </c>
      <c r="AA6" s="172">
        <v>27.245534896850586</v>
      </c>
      <c r="AB6" s="2">
        <v>9</v>
      </c>
      <c r="AC6" s="2">
        <v>0</v>
      </c>
      <c r="AD6" s="34">
        <v>45717</v>
      </c>
      <c r="AF6" s="12">
        <v>7.0000000000000007E-2</v>
      </c>
      <c r="AG6" s="12">
        <v>0.36000000000000004</v>
      </c>
      <c r="AH6" s="144">
        <v>3.5999999999999997E-2</v>
      </c>
    </row>
    <row r="7" spans="1:34" x14ac:dyDescent="0.3">
      <c r="A7" s="105">
        <v>7</v>
      </c>
      <c r="B7" s="2" t="s">
        <v>408</v>
      </c>
      <c r="C7" s="77">
        <v>2.04</v>
      </c>
      <c r="D7" s="178">
        <v>3.4313726425170898</v>
      </c>
      <c r="E7" s="178">
        <v>3.4313726425170898</v>
      </c>
      <c r="F7" s="180">
        <v>3.9215686321258545</v>
      </c>
      <c r="G7" s="163">
        <v>74.994476318359375</v>
      </c>
      <c r="H7" s="2">
        <v>7</v>
      </c>
      <c r="I7" s="2">
        <v>0</v>
      </c>
      <c r="J7" s="58">
        <v>45766</v>
      </c>
      <c r="K7" s="105">
        <v>7</v>
      </c>
      <c r="L7" s="2" t="s">
        <v>496</v>
      </c>
      <c r="M7" s="78">
        <v>2.73</v>
      </c>
      <c r="N7" s="177">
        <v>2.5641026496887207</v>
      </c>
      <c r="O7" s="177">
        <v>2.5641026496887207</v>
      </c>
      <c r="P7" s="177">
        <v>2.5641026496887207</v>
      </c>
      <c r="Q7" s="158">
        <v>45.700824737548828</v>
      </c>
      <c r="R7" s="2">
        <v>7</v>
      </c>
      <c r="S7" s="2">
        <v>0</v>
      </c>
      <c r="T7" s="34">
        <v>45717</v>
      </c>
      <c r="U7" s="105">
        <v>7</v>
      </c>
      <c r="V7" s="2" t="s">
        <v>412</v>
      </c>
      <c r="W7" s="78">
        <v>2.74</v>
      </c>
      <c r="X7" s="177">
        <v>2.5547444820404053</v>
      </c>
      <c r="Y7" s="176">
        <v>2.9197080135345459</v>
      </c>
      <c r="Z7" s="310">
        <v>3.6496350765228271</v>
      </c>
      <c r="AA7" s="158">
        <v>45.417640686035156</v>
      </c>
      <c r="AB7" s="2">
        <v>8</v>
      </c>
      <c r="AC7" s="2">
        <v>0</v>
      </c>
      <c r="AD7" s="34">
        <v>45721</v>
      </c>
      <c r="AF7" s="12">
        <v>0.87</v>
      </c>
      <c r="AG7" s="12">
        <v>8.6999999999999993</v>
      </c>
      <c r="AH7" s="144">
        <v>0.33800000000000002</v>
      </c>
    </row>
    <row r="8" spans="1:34" x14ac:dyDescent="0.3">
      <c r="A8" s="105">
        <v>8</v>
      </c>
      <c r="B8" s="2" t="s">
        <v>400</v>
      </c>
      <c r="C8" s="78">
        <v>2.92</v>
      </c>
      <c r="D8" s="177">
        <v>2.7397260665893555</v>
      </c>
      <c r="E8" s="308">
        <v>3.0821917057037354</v>
      </c>
      <c r="F8" s="180">
        <v>3.7671232223510742</v>
      </c>
      <c r="G8" s="158">
        <v>46.584522247314453</v>
      </c>
      <c r="H8" s="2">
        <v>9</v>
      </c>
      <c r="I8" s="2">
        <v>0</v>
      </c>
      <c r="J8" s="58">
        <v>45712</v>
      </c>
      <c r="K8" s="105">
        <v>8</v>
      </c>
      <c r="L8" s="2" t="s">
        <v>412</v>
      </c>
      <c r="M8" s="79">
        <v>3</v>
      </c>
      <c r="N8" s="177">
        <v>2.6666667461395264</v>
      </c>
      <c r="O8" s="178">
        <v>3.3333332538604736</v>
      </c>
      <c r="P8" s="309">
        <v>4</v>
      </c>
      <c r="Q8" s="158">
        <v>44.492454528808594</v>
      </c>
      <c r="R8" s="2">
        <v>10</v>
      </c>
      <c r="S8" s="2">
        <v>0</v>
      </c>
      <c r="T8" s="34">
        <v>45712</v>
      </c>
      <c r="U8" s="105">
        <v>8</v>
      </c>
      <c r="V8" s="2" t="s">
        <v>412</v>
      </c>
      <c r="W8" s="79">
        <v>3.04</v>
      </c>
      <c r="X8" s="177">
        <v>2.6315789222717285</v>
      </c>
      <c r="Y8" s="178">
        <v>3.2894737720489502</v>
      </c>
      <c r="Z8" s="180">
        <v>3.9473683834075928</v>
      </c>
      <c r="AA8" s="158">
        <v>43.501819610595703</v>
      </c>
      <c r="AB8" s="2">
        <v>10</v>
      </c>
      <c r="AC8" s="2">
        <v>0</v>
      </c>
      <c r="AD8" s="34">
        <v>45762</v>
      </c>
      <c r="AF8" s="12">
        <v>7.0000000000000007E-2</v>
      </c>
      <c r="AG8" s="12">
        <v>1.23</v>
      </c>
      <c r="AH8" s="144">
        <v>2.7E-2</v>
      </c>
    </row>
    <row r="9" spans="1:34" x14ac:dyDescent="0.3">
      <c r="A9" s="105">
        <v>9</v>
      </c>
      <c r="B9" s="2" t="s">
        <v>400</v>
      </c>
      <c r="C9" s="78">
        <v>2.88</v>
      </c>
      <c r="D9" s="308">
        <v>3.1249997615814209</v>
      </c>
      <c r="E9" s="309">
        <v>4.1666665077209473</v>
      </c>
      <c r="F9" s="181">
        <v>4.5138888359069824</v>
      </c>
      <c r="G9" s="157">
        <v>53.650989532470703</v>
      </c>
      <c r="H9" s="2">
        <v>12</v>
      </c>
      <c r="I9" s="2">
        <v>0</v>
      </c>
      <c r="J9" s="58">
        <v>45765</v>
      </c>
      <c r="K9" s="105">
        <v>9</v>
      </c>
      <c r="L9" s="2" t="s">
        <v>496</v>
      </c>
      <c r="M9" s="79">
        <v>3.03</v>
      </c>
      <c r="N9" s="176">
        <v>2.97029709815979</v>
      </c>
      <c r="O9" s="178">
        <v>3.3003301620483398</v>
      </c>
      <c r="P9" s="310">
        <v>3.6303629875183105</v>
      </c>
      <c r="Q9" s="158">
        <v>49.214439392089844</v>
      </c>
      <c r="R9" s="2">
        <v>10</v>
      </c>
      <c r="S9" s="2">
        <v>0</v>
      </c>
      <c r="T9" s="34">
        <v>45763</v>
      </c>
      <c r="U9" s="105">
        <v>9</v>
      </c>
      <c r="V9" s="2" t="s">
        <v>391</v>
      </c>
      <c r="W9" s="79">
        <v>3.19</v>
      </c>
      <c r="X9" s="176">
        <v>2.8213164806365967</v>
      </c>
      <c r="Y9" s="308">
        <v>3.134796142578125</v>
      </c>
      <c r="Z9" s="178">
        <v>3.4482758045196533</v>
      </c>
      <c r="AA9" s="158">
        <v>45.092140197753906</v>
      </c>
      <c r="AB9" s="2">
        <v>10</v>
      </c>
      <c r="AC9" s="2">
        <v>0</v>
      </c>
      <c r="AD9" s="34">
        <v>45704</v>
      </c>
      <c r="AF9" s="12">
        <v>0.15</v>
      </c>
      <c r="AG9" s="12">
        <v>3.9699999999999998</v>
      </c>
      <c r="AH9" s="144">
        <v>5.1999999999999998E-2</v>
      </c>
    </row>
    <row r="10" spans="1:34" x14ac:dyDescent="0.3">
      <c r="A10" s="105">
        <v>10</v>
      </c>
      <c r="B10" s="2" t="s">
        <v>394</v>
      </c>
      <c r="C10" s="79">
        <v>3.29</v>
      </c>
      <c r="D10" s="308">
        <v>3.0395138263702393</v>
      </c>
      <c r="E10" s="308">
        <v>3.0395138263702393</v>
      </c>
      <c r="F10" s="178">
        <v>3.3434650897979736</v>
      </c>
      <c r="G10" s="158">
        <v>47.541126251220703</v>
      </c>
      <c r="H10" s="2">
        <v>10</v>
      </c>
      <c r="I10" s="2">
        <v>0</v>
      </c>
      <c r="J10" s="58">
        <v>45762</v>
      </c>
      <c r="K10" s="105">
        <v>10</v>
      </c>
      <c r="L10" s="2" t="s">
        <v>400</v>
      </c>
      <c r="M10" s="79">
        <v>3.42</v>
      </c>
      <c r="N10" s="176">
        <v>2.9239766597747803</v>
      </c>
      <c r="O10" s="308">
        <v>3.2163741588592529</v>
      </c>
      <c r="P10" s="310">
        <v>3.5087718963623047</v>
      </c>
      <c r="Q10" s="158">
        <v>44.510051727294922</v>
      </c>
      <c r="R10" s="2">
        <v>11</v>
      </c>
      <c r="S10" s="2">
        <v>0</v>
      </c>
      <c r="T10" s="34">
        <v>45704</v>
      </c>
      <c r="U10" s="105">
        <v>10</v>
      </c>
      <c r="V10" s="2" t="s">
        <v>400</v>
      </c>
      <c r="W10" s="79">
        <v>3.43</v>
      </c>
      <c r="X10" s="176">
        <v>2.9154517650604248</v>
      </c>
      <c r="Y10" s="180">
        <v>3.7900874614715576</v>
      </c>
      <c r="Z10" s="309">
        <v>4.0816326141357422</v>
      </c>
      <c r="AA10" s="158">
        <v>44.2896728515625</v>
      </c>
      <c r="AB10" s="2">
        <v>13</v>
      </c>
      <c r="AC10" s="2">
        <v>0</v>
      </c>
      <c r="AD10" s="34">
        <v>45763</v>
      </c>
      <c r="AF10" s="12">
        <v>0.12</v>
      </c>
      <c r="AG10" s="12">
        <v>4.1399999999999997</v>
      </c>
      <c r="AH10" s="144">
        <v>0.04</v>
      </c>
    </row>
    <row r="11" spans="1:34" x14ac:dyDescent="0.3">
      <c r="A11" s="105">
        <v>11</v>
      </c>
      <c r="B11" s="2" t="s">
        <v>405</v>
      </c>
      <c r="C11" s="79">
        <v>3.17</v>
      </c>
      <c r="D11" s="178">
        <v>3.4700314998626709</v>
      </c>
      <c r="E11" s="178">
        <v>3.4700314998626709</v>
      </c>
      <c r="F11" s="180">
        <v>3.7854888439178467</v>
      </c>
      <c r="G11" s="157">
        <v>55.705028533935547</v>
      </c>
      <c r="H11" s="2">
        <v>11</v>
      </c>
      <c r="I11" s="2">
        <v>0</v>
      </c>
      <c r="J11" s="58">
        <v>45810</v>
      </c>
      <c r="K11" s="105">
        <v>11</v>
      </c>
      <c r="L11" s="2" t="s">
        <v>391</v>
      </c>
      <c r="M11" s="79">
        <v>3.28</v>
      </c>
      <c r="N11" s="178">
        <v>3.3536586761474609</v>
      </c>
      <c r="O11" s="180">
        <v>3.9634146690368652</v>
      </c>
      <c r="P11" s="181">
        <v>4.5731706619262695</v>
      </c>
      <c r="Q11" s="157">
        <v>52.566574096679688</v>
      </c>
      <c r="R11" s="2">
        <v>13</v>
      </c>
      <c r="S11" s="2">
        <v>0</v>
      </c>
      <c r="T11" s="34">
        <v>45762</v>
      </c>
      <c r="U11" s="105">
        <v>11</v>
      </c>
      <c r="V11" s="2" t="s">
        <v>405</v>
      </c>
      <c r="W11" s="79">
        <v>3.45</v>
      </c>
      <c r="X11" s="308">
        <v>3.1884057521820068</v>
      </c>
      <c r="Y11" s="308">
        <v>3.1884057521820068</v>
      </c>
      <c r="Z11" s="178">
        <v>3.4782607555389404</v>
      </c>
      <c r="AA11" s="158">
        <v>48.239490509033203</v>
      </c>
      <c r="AB11" s="2">
        <v>11</v>
      </c>
      <c r="AC11" s="2">
        <v>0</v>
      </c>
      <c r="AD11" s="34">
        <v>45762</v>
      </c>
      <c r="AF11" s="12">
        <v>0.12</v>
      </c>
      <c r="AG11" s="12">
        <v>5.39</v>
      </c>
      <c r="AH11" s="144">
        <v>3.5000000000000003E-2</v>
      </c>
    </row>
    <row r="12" spans="1:34" x14ac:dyDescent="0.3">
      <c r="A12" s="105">
        <v>12</v>
      </c>
      <c r="B12" s="2" t="s">
        <v>391</v>
      </c>
      <c r="C12" s="14">
        <v>3.54</v>
      </c>
      <c r="D12" s="178">
        <v>3.3898305892944336</v>
      </c>
      <c r="E12" s="309">
        <v>4.2372879981994629</v>
      </c>
      <c r="F12" s="309">
        <v>4.2372879981994629</v>
      </c>
      <c r="G12" s="157">
        <v>50.3707275390625</v>
      </c>
      <c r="H12" s="2">
        <v>15</v>
      </c>
      <c r="I12" s="2">
        <v>0</v>
      </c>
      <c r="J12" s="58">
        <v>45810</v>
      </c>
      <c r="K12" s="105">
        <v>12</v>
      </c>
      <c r="L12" s="2" t="s">
        <v>397</v>
      </c>
      <c r="M12" s="14">
        <v>3.56</v>
      </c>
      <c r="N12" s="178">
        <v>3.3707866668701172</v>
      </c>
      <c r="O12" s="178">
        <v>3.3707866668701172</v>
      </c>
      <c r="P12" s="309">
        <v>4.2134833335876465</v>
      </c>
      <c r="Q12" s="158">
        <v>49.890602111816406</v>
      </c>
      <c r="R12" s="2">
        <v>12</v>
      </c>
      <c r="S12" s="2">
        <v>0</v>
      </c>
      <c r="T12" s="34">
        <v>45762</v>
      </c>
      <c r="U12" s="105">
        <v>12</v>
      </c>
      <c r="V12" s="2" t="s">
        <v>391</v>
      </c>
      <c r="W12" s="14">
        <v>3.76</v>
      </c>
      <c r="X12" s="308">
        <v>3.1914894580841064</v>
      </c>
      <c r="Y12" s="178">
        <v>3.457446813583374</v>
      </c>
      <c r="Z12" s="180">
        <v>3.9893617630004883</v>
      </c>
      <c r="AA12" s="158">
        <v>45.463661193847656</v>
      </c>
      <c r="AB12" s="2">
        <v>13</v>
      </c>
      <c r="AC12" s="2">
        <v>0</v>
      </c>
      <c r="AD12" s="34">
        <v>45766</v>
      </c>
      <c r="AF12" s="12">
        <v>0.02</v>
      </c>
      <c r="AG12" s="12">
        <v>1.07</v>
      </c>
      <c r="AH12" s="144">
        <v>6.0000000000000001E-3</v>
      </c>
    </row>
    <row r="13" spans="1:34" x14ac:dyDescent="0.3">
      <c r="A13" s="105">
        <v>13</v>
      </c>
      <c r="B13" s="2" t="s">
        <v>397</v>
      </c>
      <c r="C13" s="79">
        <v>3.33</v>
      </c>
      <c r="D13" s="180">
        <v>3.9039039611816406</v>
      </c>
      <c r="E13" s="180">
        <v>3.9039039611816406</v>
      </c>
      <c r="F13" s="309">
        <v>4.2042040824890137</v>
      </c>
      <c r="G13" s="159">
        <v>60.546730041503906</v>
      </c>
      <c r="H13" s="2">
        <v>13</v>
      </c>
      <c r="I13" s="2">
        <v>0</v>
      </c>
      <c r="J13" s="58">
        <v>45807</v>
      </c>
      <c r="K13" s="105">
        <v>13</v>
      </c>
      <c r="L13" s="2" t="s">
        <v>408</v>
      </c>
      <c r="M13" s="79">
        <v>3.34</v>
      </c>
      <c r="N13" s="180">
        <v>3.8922157287597656</v>
      </c>
      <c r="O13" s="180">
        <v>3.8922157287597656</v>
      </c>
      <c r="P13" s="309">
        <v>4.1916170120239258</v>
      </c>
      <c r="Q13" s="159">
        <v>60.238880157470703</v>
      </c>
      <c r="R13" s="2">
        <v>13</v>
      </c>
      <c r="S13" s="2">
        <v>0</v>
      </c>
      <c r="T13" s="34">
        <v>45810</v>
      </c>
      <c r="U13" s="105">
        <v>13</v>
      </c>
      <c r="V13" s="2" t="s">
        <v>400</v>
      </c>
      <c r="W13" s="14">
        <v>3.8</v>
      </c>
      <c r="X13" s="178">
        <v>3.4210526943206787</v>
      </c>
      <c r="Y13" s="309">
        <v>4.2105264663696289</v>
      </c>
      <c r="Z13" s="182">
        <v>4.4736843109130859</v>
      </c>
      <c r="AA13" s="158">
        <v>48.374195098876953</v>
      </c>
      <c r="AB13" s="2">
        <v>16</v>
      </c>
      <c r="AC13" s="2">
        <v>0</v>
      </c>
      <c r="AD13" s="34">
        <v>45717</v>
      </c>
      <c r="AF13" s="12">
        <v>0.01</v>
      </c>
      <c r="AG13" s="12">
        <v>0.76</v>
      </c>
      <c r="AH13" s="144">
        <v>3.0000000000000001E-3</v>
      </c>
    </row>
    <row r="14" spans="1:34" x14ac:dyDescent="0.3">
      <c r="A14" s="105">
        <v>14</v>
      </c>
      <c r="B14" s="2" t="s">
        <v>397</v>
      </c>
      <c r="C14" s="14">
        <v>3.73</v>
      </c>
      <c r="D14" s="180">
        <v>3.7533512115478516</v>
      </c>
      <c r="E14" s="180">
        <v>3.7533512115478516</v>
      </c>
      <c r="F14" s="182">
        <v>4.2895441055297852</v>
      </c>
      <c r="G14" s="157">
        <v>53.768203735351563</v>
      </c>
      <c r="H14" s="2">
        <v>14</v>
      </c>
      <c r="I14" s="2">
        <v>0</v>
      </c>
      <c r="J14" s="58">
        <v>45717</v>
      </c>
      <c r="K14" s="105">
        <v>14</v>
      </c>
      <c r="L14" s="2" t="s">
        <v>405</v>
      </c>
      <c r="M14" s="14">
        <v>3.82</v>
      </c>
      <c r="N14" s="310">
        <v>3.6649215221405029</v>
      </c>
      <c r="O14" s="180">
        <v>3.926701545715332</v>
      </c>
      <c r="P14" s="309">
        <v>4.1884818077087402</v>
      </c>
      <c r="Q14" s="157">
        <v>51.632461547851563</v>
      </c>
      <c r="R14" s="2">
        <v>15</v>
      </c>
      <c r="S14" s="2">
        <v>0</v>
      </c>
      <c r="T14" s="34">
        <v>45766</v>
      </c>
      <c r="U14" s="105">
        <v>14</v>
      </c>
      <c r="V14" s="2" t="s">
        <v>405</v>
      </c>
      <c r="W14" s="14">
        <v>3.85</v>
      </c>
      <c r="X14" s="310">
        <v>3.6363637447357178</v>
      </c>
      <c r="Y14" s="310">
        <v>3.6363637447357178</v>
      </c>
      <c r="Z14" s="182">
        <v>4.4155845642089844</v>
      </c>
      <c r="AA14" s="157">
        <v>50.950366973876953</v>
      </c>
      <c r="AB14" s="2">
        <v>14</v>
      </c>
      <c r="AC14" s="2">
        <v>0</v>
      </c>
      <c r="AD14" s="34">
        <v>45761</v>
      </c>
      <c r="AF14" s="12">
        <v>0.09</v>
      </c>
      <c r="AG14" s="12">
        <v>6.26</v>
      </c>
      <c r="AH14" s="144">
        <v>2.4E-2</v>
      </c>
    </row>
    <row r="15" spans="1:34" x14ac:dyDescent="0.3">
      <c r="A15" s="105">
        <v>15</v>
      </c>
      <c r="B15" s="2" t="s">
        <v>400</v>
      </c>
      <c r="C15" s="14">
        <v>3.98</v>
      </c>
      <c r="D15" s="180">
        <v>3.7688441276550293</v>
      </c>
      <c r="E15" s="181">
        <v>4.5226130485534668</v>
      </c>
      <c r="F15" s="311">
        <v>5.0251255035400391</v>
      </c>
      <c r="G15" s="157">
        <v>51.593208312988281</v>
      </c>
      <c r="H15" s="2">
        <v>18</v>
      </c>
      <c r="I15" s="2">
        <v>0</v>
      </c>
      <c r="J15" s="58">
        <v>45762</v>
      </c>
      <c r="K15" s="105">
        <v>15</v>
      </c>
      <c r="L15" s="2" t="s">
        <v>397</v>
      </c>
      <c r="M15" s="80">
        <v>4.07</v>
      </c>
      <c r="N15" s="310">
        <v>3.6855034828186035</v>
      </c>
      <c r="O15" s="310">
        <v>3.6855034828186035</v>
      </c>
      <c r="P15" s="180">
        <v>3.9312038421630859</v>
      </c>
      <c r="Q15" s="158">
        <v>49.668750762939453</v>
      </c>
      <c r="R15" s="2">
        <v>15</v>
      </c>
      <c r="S15" s="2">
        <v>0</v>
      </c>
      <c r="T15" s="34">
        <v>45706</v>
      </c>
      <c r="U15" s="105">
        <v>15</v>
      </c>
      <c r="V15" s="2" t="s">
        <v>397</v>
      </c>
      <c r="W15" s="80">
        <v>4.08</v>
      </c>
      <c r="X15" s="310">
        <v>3.6764707565307617</v>
      </c>
      <c r="Y15" s="310">
        <v>3.6764707565307617</v>
      </c>
      <c r="Z15" s="180">
        <v>3.9215686321258545</v>
      </c>
      <c r="AA15" s="158">
        <v>49.461978912353516</v>
      </c>
      <c r="AB15" s="2">
        <v>15</v>
      </c>
      <c r="AC15" s="2">
        <v>0</v>
      </c>
      <c r="AD15" s="34">
        <v>45756</v>
      </c>
      <c r="AF15" s="12">
        <v>0.08</v>
      </c>
      <c r="AG15" s="12">
        <v>6.17</v>
      </c>
      <c r="AH15" s="144">
        <v>2.3E-2</v>
      </c>
    </row>
    <row r="16" spans="1:34" x14ac:dyDescent="0.3">
      <c r="A16" s="105">
        <v>16</v>
      </c>
      <c r="B16" s="2" t="s">
        <v>496</v>
      </c>
      <c r="C16" s="80">
        <v>4.34</v>
      </c>
      <c r="D16" s="310">
        <v>3.6866357326507568</v>
      </c>
      <c r="E16" s="310">
        <v>3.6866357326507568</v>
      </c>
      <c r="F16" s="180">
        <v>3.9170506000518799</v>
      </c>
      <c r="G16" s="158">
        <v>47.499595642089844</v>
      </c>
      <c r="H16" s="2">
        <v>16</v>
      </c>
      <c r="I16" s="2">
        <v>0</v>
      </c>
      <c r="J16" s="58">
        <v>45762</v>
      </c>
      <c r="K16" s="105">
        <v>16</v>
      </c>
      <c r="L16" s="2" t="s">
        <v>405</v>
      </c>
      <c r="M16" s="80">
        <v>4.37</v>
      </c>
      <c r="N16" s="310">
        <v>3.6613273620605469</v>
      </c>
      <c r="O16" s="310">
        <v>3.6613273620605469</v>
      </c>
      <c r="P16" s="180">
        <v>3.8901603221893311</v>
      </c>
      <c r="Q16" s="158">
        <v>46.946590423583984</v>
      </c>
      <c r="R16" s="2">
        <v>16</v>
      </c>
      <c r="S16" s="2">
        <v>0</v>
      </c>
      <c r="T16" s="34">
        <v>45762</v>
      </c>
      <c r="U16" s="105">
        <v>16</v>
      </c>
      <c r="V16" s="2" t="s">
        <v>397</v>
      </c>
      <c r="W16" s="15">
        <v>4.83</v>
      </c>
      <c r="X16" s="178">
        <v>3.3126294612884521</v>
      </c>
      <c r="Y16" s="310">
        <v>3.7267081737518311</v>
      </c>
      <c r="Z16" s="180">
        <v>3.9337475299835205</v>
      </c>
      <c r="AA16" s="158">
        <v>39.601566314697266</v>
      </c>
      <c r="AB16" s="2">
        <v>18</v>
      </c>
      <c r="AC16" s="2">
        <v>0</v>
      </c>
      <c r="AD16" s="34">
        <v>45675</v>
      </c>
      <c r="AF16" s="12">
        <v>0.03</v>
      </c>
      <c r="AG16" s="12">
        <v>1.89</v>
      </c>
      <c r="AH16" s="144">
        <v>7.0000000000000001E-3</v>
      </c>
    </row>
    <row r="17" spans="1:34" x14ac:dyDescent="0.3">
      <c r="A17" s="105">
        <v>17</v>
      </c>
      <c r="B17" s="2" t="s">
        <v>405</v>
      </c>
      <c r="C17" s="15">
        <v>4.58</v>
      </c>
      <c r="D17" s="310">
        <v>3.7117905616760254</v>
      </c>
      <c r="E17" s="310">
        <v>3.7117905616760254</v>
      </c>
      <c r="F17" s="180">
        <v>3.9301309585571289</v>
      </c>
      <c r="G17" s="158">
        <v>46.055355072021484</v>
      </c>
      <c r="H17" s="2">
        <v>17</v>
      </c>
      <c r="I17" s="2">
        <v>0</v>
      </c>
      <c r="J17" s="58">
        <v>45810</v>
      </c>
      <c r="K17" s="105">
        <v>17</v>
      </c>
      <c r="L17" s="2" t="s">
        <v>391</v>
      </c>
      <c r="M17" s="15">
        <v>4.58</v>
      </c>
      <c r="N17" s="310">
        <v>3.7117905616760254</v>
      </c>
      <c r="O17" s="182">
        <v>4.3668122291564941</v>
      </c>
      <c r="P17" s="181">
        <v>4.5851531028747559</v>
      </c>
      <c r="Q17" s="158">
        <v>46.055355072021484</v>
      </c>
      <c r="R17" s="2">
        <v>20</v>
      </c>
      <c r="S17" s="2">
        <v>0</v>
      </c>
      <c r="T17" s="34">
        <v>45756</v>
      </c>
      <c r="U17" s="105">
        <v>17</v>
      </c>
      <c r="V17" s="2" t="s">
        <v>397</v>
      </c>
      <c r="W17" s="15">
        <v>4.58</v>
      </c>
      <c r="X17" s="310">
        <v>3.7117905616760254</v>
      </c>
      <c r="Y17" s="310">
        <v>3.7117905616760254</v>
      </c>
      <c r="Z17" s="309">
        <v>4.1484718322753906</v>
      </c>
      <c r="AA17" s="158">
        <v>46.055355072021484</v>
      </c>
      <c r="AB17" s="2">
        <v>17</v>
      </c>
      <c r="AC17" s="2">
        <v>0</v>
      </c>
      <c r="AD17" s="34">
        <v>45720</v>
      </c>
      <c r="AF17" s="12">
        <v>0</v>
      </c>
      <c r="AG17" s="12">
        <v>0</v>
      </c>
      <c r="AH17" s="144">
        <v>0</v>
      </c>
    </row>
    <row r="18" spans="1:34" x14ac:dyDescent="0.3">
      <c r="A18" s="105">
        <v>18</v>
      </c>
      <c r="B18" s="2" t="s">
        <v>433</v>
      </c>
      <c r="C18" s="15">
        <v>4.58</v>
      </c>
      <c r="D18" s="180">
        <v>3.9301309585571289</v>
      </c>
      <c r="E18" s="181">
        <v>4.5851531028747559</v>
      </c>
      <c r="F18" s="183">
        <v>4.8034934997558594</v>
      </c>
      <c r="G18" s="158">
        <v>48.764492034912109</v>
      </c>
      <c r="H18" s="2">
        <v>21</v>
      </c>
      <c r="I18" s="2">
        <v>0</v>
      </c>
      <c r="J18" s="58">
        <v>45810</v>
      </c>
      <c r="K18" s="105">
        <v>18</v>
      </c>
      <c r="L18" s="2" t="s">
        <v>408</v>
      </c>
      <c r="M18" s="15">
        <v>4.68</v>
      </c>
      <c r="N18" s="180">
        <v>3.8461539745330811</v>
      </c>
      <c r="O18" s="180">
        <v>3.8461539745330811</v>
      </c>
      <c r="P18" s="309">
        <v>4.0598292350769043</v>
      </c>
      <c r="Q18" s="158">
        <v>47.00640869140625</v>
      </c>
      <c r="R18" s="2">
        <v>18</v>
      </c>
      <c r="S18" s="2">
        <v>0</v>
      </c>
      <c r="T18" s="34">
        <v>45805</v>
      </c>
      <c r="U18" s="105">
        <v>18</v>
      </c>
      <c r="V18" s="2" t="s">
        <v>405</v>
      </c>
      <c r="W18" s="81">
        <v>5.04</v>
      </c>
      <c r="X18" s="310">
        <v>3.5714285373687744</v>
      </c>
      <c r="Y18" s="310">
        <v>3.5714285373687744</v>
      </c>
      <c r="Z18" s="310">
        <v>3.5714285373687744</v>
      </c>
      <c r="AA18" s="158">
        <v>41.442226409912109</v>
      </c>
      <c r="AB18" s="2">
        <v>18</v>
      </c>
      <c r="AC18" s="2">
        <v>0</v>
      </c>
      <c r="AD18" s="34">
        <v>45716</v>
      </c>
      <c r="AF18" s="12">
        <v>0.08</v>
      </c>
      <c r="AG18" s="12">
        <v>5.78</v>
      </c>
      <c r="AH18" s="144">
        <v>2.1999999999999999E-2</v>
      </c>
    </row>
    <row r="19" spans="1:34" x14ac:dyDescent="0.3">
      <c r="A19" s="105">
        <v>19</v>
      </c>
      <c r="B19" s="2" t="s">
        <v>433</v>
      </c>
      <c r="C19" s="15">
        <v>4.68</v>
      </c>
      <c r="D19" s="309">
        <v>4.0598292350769043</v>
      </c>
      <c r="E19" s="181">
        <v>4.7008547782897949</v>
      </c>
      <c r="F19" s="183">
        <v>4.9145302772521973</v>
      </c>
      <c r="G19" s="158">
        <v>49.617877960205078</v>
      </c>
      <c r="H19" s="2">
        <v>22</v>
      </c>
      <c r="I19" s="2">
        <v>0</v>
      </c>
      <c r="J19" s="58">
        <v>45765</v>
      </c>
      <c r="K19" s="105">
        <v>19</v>
      </c>
      <c r="L19" s="2" t="s">
        <v>397</v>
      </c>
      <c r="M19" s="81">
        <v>5.18</v>
      </c>
      <c r="N19" s="310">
        <v>3.6679537296295166</v>
      </c>
      <c r="O19" s="310">
        <v>3.6679537296295166</v>
      </c>
      <c r="P19" s="309">
        <v>4.2471041679382324</v>
      </c>
      <c r="Q19" s="158">
        <v>41.753753662109375</v>
      </c>
      <c r="R19" s="2">
        <v>19</v>
      </c>
      <c r="S19" s="2">
        <v>0</v>
      </c>
      <c r="T19" s="34">
        <v>45761</v>
      </c>
      <c r="U19" s="105">
        <v>19</v>
      </c>
      <c r="V19" s="2" t="s">
        <v>405</v>
      </c>
      <c r="W19" s="81">
        <v>5.18</v>
      </c>
      <c r="X19" s="310">
        <v>3.6679537296295166</v>
      </c>
      <c r="Y19" s="310">
        <v>3.6679537296295166</v>
      </c>
      <c r="Z19" s="310">
        <v>3.6679537296295166</v>
      </c>
      <c r="AA19" s="158">
        <v>41.753753662109375</v>
      </c>
      <c r="AB19" s="2">
        <v>19</v>
      </c>
      <c r="AC19" s="2">
        <v>0</v>
      </c>
      <c r="AD19" s="34">
        <v>45705</v>
      </c>
      <c r="AF19" s="12">
        <v>0.39</v>
      </c>
      <c r="AG19" s="12">
        <v>24.69</v>
      </c>
      <c r="AH19" s="144">
        <v>0.107</v>
      </c>
    </row>
    <row r="20" spans="1:34" x14ac:dyDescent="0.3">
      <c r="A20" s="105">
        <v>20</v>
      </c>
      <c r="B20" s="2" t="s">
        <v>397</v>
      </c>
      <c r="C20" s="15">
        <v>4.8099999999999996</v>
      </c>
      <c r="D20" s="309">
        <v>4.1580042839050293</v>
      </c>
      <c r="E20" s="309">
        <v>4.1580042839050293</v>
      </c>
      <c r="F20" s="181">
        <v>4.5738048553466797</v>
      </c>
      <c r="G20" s="158">
        <v>49.852375030517578</v>
      </c>
      <c r="H20" s="2">
        <v>20</v>
      </c>
      <c r="I20" s="2">
        <v>0</v>
      </c>
      <c r="J20" s="58">
        <v>45762</v>
      </c>
      <c r="K20" s="105">
        <v>20</v>
      </c>
      <c r="L20" s="2" t="s">
        <v>408</v>
      </c>
      <c r="M20" s="81">
        <v>5.09</v>
      </c>
      <c r="N20" s="180">
        <v>3.9292728900909424</v>
      </c>
      <c r="O20" s="180">
        <v>3.9292728900909424</v>
      </c>
      <c r="P20" s="309">
        <v>4.1257367134094238</v>
      </c>
      <c r="Q20" s="158">
        <v>45.280609130859375</v>
      </c>
      <c r="R20" s="2">
        <v>20</v>
      </c>
      <c r="S20" s="2">
        <v>0</v>
      </c>
      <c r="T20" s="34">
        <v>45706</v>
      </c>
      <c r="U20" s="105">
        <v>20</v>
      </c>
      <c r="V20" s="2" t="s">
        <v>391</v>
      </c>
      <c r="W20" s="81">
        <v>5.31</v>
      </c>
      <c r="X20" s="180">
        <v>3.7664783000946045</v>
      </c>
      <c r="Y20" s="180">
        <v>3.9548022747039795</v>
      </c>
      <c r="Z20" s="182">
        <v>4.3314499855041504</v>
      </c>
      <c r="AA20" s="158">
        <v>42.137794494628906</v>
      </c>
      <c r="AB20" s="2">
        <v>21</v>
      </c>
      <c r="AC20" s="2">
        <v>0</v>
      </c>
      <c r="AD20" s="34">
        <v>45763</v>
      </c>
      <c r="AF20" s="12">
        <v>0.23</v>
      </c>
      <c r="AG20" s="12">
        <v>12.9</v>
      </c>
      <c r="AH20" s="144">
        <v>5.8000000000000003E-2</v>
      </c>
    </row>
    <row r="21" spans="1:34" x14ac:dyDescent="0.3">
      <c r="A21" s="105">
        <v>21</v>
      </c>
      <c r="B21" s="2" t="s">
        <v>397</v>
      </c>
      <c r="C21" s="81">
        <v>5.35</v>
      </c>
      <c r="D21" s="180">
        <v>3.9252336025238037</v>
      </c>
      <c r="E21" s="180">
        <v>3.9252336025238037</v>
      </c>
      <c r="F21" s="309">
        <v>4.112149715423584</v>
      </c>
      <c r="G21" s="158">
        <v>43.683795928955078</v>
      </c>
      <c r="H21" s="2">
        <v>21</v>
      </c>
      <c r="I21" s="2">
        <v>0</v>
      </c>
      <c r="J21" s="58">
        <v>45810</v>
      </c>
      <c r="K21" s="105">
        <v>21</v>
      </c>
      <c r="L21" s="2" t="s">
        <v>397</v>
      </c>
      <c r="M21" s="16">
        <v>5.72</v>
      </c>
      <c r="N21" s="310">
        <v>3.6713287830352783</v>
      </c>
      <c r="O21" s="180">
        <v>3.8461539745330811</v>
      </c>
      <c r="P21" s="309">
        <v>4.0209794044494629</v>
      </c>
      <c r="Q21" s="158">
        <v>38.989582061767578</v>
      </c>
      <c r="R21" s="2">
        <v>22</v>
      </c>
      <c r="S21" s="2">
        <v>0</v>
      </c>
      <c r="T21" s="34">
        <v>45766</v>
      </c>
      <c r="U21" s="105">
        <v>21</v>
      </c>
      <c r="V21" s="2" t="s">
        <v>400</v>
      </c>
      <c r="W21" s="16">
        <v>5.8</v>
      </c>
      <c r="X21" s="310">
        <v>3.6206896305084229</v>
      </c>
      <c r="Y21" s="180">
        <v>3.9655170440673828</v>
      </c>
      <c r="Z21" s="181">
        <v>4.6551723480224609</v>
      </c>
      <c r="AA21" s="158">
        <v>38.079757690429688</v>
      </c>
      <c r="AB21" s="2">
        <v>23</v>
      </c>
      <c r="AC21" s="2">
        <v>0</v>
      </c>
      <c r="AD21" s="34">
        <v>45765</v>
      </c>
      <c r="AF21" s="12">
        <v>0.25</v>
      </c>
      <c r="AG21" s="12">
        <v>12.540000000000001</v>
      </c>
      <c r="AH21" s="144">
        <v>6.9000000000000006E-2</v>
      </c>
    </row>
    <row r="22" spans="1:34" x14ac:dyDescent="0.3">
      <c r="A22" s="105">
        <v>22</v>
      </c>
      <c r="B22" s="2" t="s">
        <v>453</v>
      </c>
      <c r="C22" s="16">
        <v>5.64</v>
      </c>
      <c r="D22" s="180">
        <v>3.9007093906402588</v>
      </c>
      <c r="E22" s="181">
        <v>4.609929084777832</v>
      </c>
      <c r="F22" s="311">
        <v>5.1418442726135254</v>
      </c>
      <c r="G22" s="158">
        <v>41.836055755615234</v>
      </c>
      <c r="H22" s="2">
        <v>26</v>
      </c>
      <c r="I22" s="2">
        <v>0</v>
      </c>
      <c r="J22" s="58">
        <v>45804</v>
      </c>
      <c r="K22" s="105">
        <v>22</v>
      </c>
      <c r="L22" s="2" t="s">
        <v>408</v>
      </c>
      <c r="M22" s="16">
        <v>5.9</v>
      </c>
      <c r="N22" s="310">
        <v>3.7288134098052979</v>
      </c>
      <c r="O22" s="310">
        <v>3.7288134098052979</v>
      </c>
      <c r="P22" s="182">
        <v>4.4067797660827637</v>
      </c>
      <c r="Q22" s="158">
        <v>38.750450134277344</v>
      </c>
      <c r="R22" s="2">
        <v>22</v>
      </c>
      <c r="S22" s="2">
        <v>0</v>
      </c>
      <c r="T22" s="34">
        <v>45712</v>
      </c>
      <c r="U22" s="105">
        <v>22</v>
      </c>
      <c r="V22" s="2" t="s">
        <v>391</v>
      </c>
      <c r="W22" s="82">
        <v>6.32</v>
      </c>
      <c r="X22" s="178">
        <v>3.4810125827789307</v>
      </c>
      <c r="Y22" s="180">
        <v>3.9556961059570313</v>
      </c>
      <c r="Z22" s="309">
        <v>4.1139240264892578</v>
      </c>
      <c r="AA22" s="172">
        <v>34.475147247314453</v>
      </c>
      <c r="AB22" s="2">
        <v>25</v>
      </c>
      <c r="AC22" s="2">
        <v>0</v>
      </c>
      <c r="AD22" s="34">
        <v>45711</v>
      </c>
      <c r="AF22" s="12">
        <v>0.17</v>
      </c>
      <c r="AG22" s="12">
        <v>7.24</v>
      </c>
      <c r="AH22" s="144">
        <v>4.5999999999999999E-2</v>
      </c>
    </row>
    <row r="23" spans="1:34" x14ac:dyDescent="0.3">
      <c r="A23" s="105">
        <v>23</v>
      </c>
      <c r="B23" s="2" t="s">
        <v>493</v>
      </c>
      <c r="C23" s="82">
        <v>6.21</v>
      </c>
      <c r="D23" s="310">
        <v>3.7037036418914795</v>
      </c>
      <c r="E23" s="183">
        <v>4.9919486045837402</v>
      </c>
      <c r="F23" s="184">
        <v>5.3140096664428711</v>
      </c>
      <c r="G23" s="172">
        <v>37.134246826171875</v>
      </c>
      <c r="H23" s="2">
        <v>31</v>
      </c>
      <c r="I23" s="2">
        <v>0</v>
      </c>
      <c r="J23" s="58">
        <v>45808</v>
      </c>
      <c r="K23" s="105">
        <v>23</v>
      </c>
      <c r="L23" s="2" t="s">
        <v>482</v>
      </c>
      <c r="M23" s="82">
        <v>6.25</v>
      </c>
      <c r="N23" s="310">
        <v>3.6800000667572021</v>
      </c>
      <c r="O23" s="182">
        <v>4.320000171661377</v>
      </c>
      <c r="P23" s="181">
        <v>4.6399998664855957</v>
      </c>
      <c r="Q23" s="172">
        <v>36.731132507324219</v>
      </c>
      <c r="R23" s="2">
        <v>27</v>
      </c>
      <c r="S23" s="2">
        <v>0</v>
      </c>
      <c r="T23" s="34">
        <v>45762</v>
      </c>
      <c r="U23" s="105">
        <v>23</v>
      </c>
      <c r="V23" s="2" t="s">
        <v>391</v>
      </c>
      <c r="W23" s="82">
        <v>6.31</v>
      </c>
      <c r="X23" s="310">
        <v>3.645007848739624</v>
      </c>
      <c r="Y23" s="309">
        <v>4.1204438209533691</v>
      </c>
      <c r="Z23" s="181">
        <v>4.5958795547485352</v>
      </c>
      <c r="AA23" s="172">
        <v>36.139358520507813</v>
      </c>
      <c r="AB23" s="2">
        <v>26</v>
      </c>
      <c r="AC23" s="2">
        <v>0</v>
      </c>
      <c r="AD23" s="34">
        <v>45810</v>
      </c>
      <c r="AF23" s="12">
        <v>0.02</v>
      </c>
      <c r="AG23" s="12">
        <v>0.83</v>
      </c>
      <c r="AH23" s="144">
        <v>6.0000000000000001E-3</v>
      </c>
    </row>
    <row r="24" spans="1:34" x14ac:dyDescent="0.3">
      <c r="A24" s="105">
        <v>24</v>
      </c>
      <c r="B24" s="2" t="s">
        <v>463</v>
      </c>
      <c r="C24" s="16">
        <v>5.91</v>
      </c>
      <c r="D24" s="309">
        <v>4.0609140396118164</v>
      </c>
      <c r="E24" s="181">
        <v>4.5685281753540039</v>
      </c>
      <c r="F24" s="311">
        <v>5.0761423110961914</v>
      </c>
      <c r="G24" s="158">
        <v>42.151695251464844</v>
      </c>
      <c r="H24" s="2">
        <v>27</v>
      </c>
      <c r="I24" s="2">
        <v>0</v>
      </c>
      <c r="J24" s="58">
        <v>45793</v>
      </c>
      <c r="K24" s="105">
        <v>24</v>
      </c>
      <c r="L24" s="2" t="s">
        <v>408</v>
      </c>
      <c r="M24" s="16">
        <v>5.93</v>
      </c>
      <c r="N24" s="309">
        <v>4.047217845916748</v>
      </c>
      <c r="O24" s="309">
        <v>4.047217845916748</v>
      </c>
      <c r="P24" s="309">
        <v>4.2158517837524414</v>
      </c>
      <c r="Q24" s="158">
        <v>41.910301208496094</v>
      </c>
      <c r="R24" s="2">
        <v>24</v>
      </c>
      <c r="S24" s="2">
        <v>0</v>
      </c>
      <c r="T24" s="34">
        <v>45766</v>
      </c>
      <c r="U24" s="105">
        <v>24</v>
      </c>
      <c r="V24" s="2" t="s">
        <v>397</v>
      </c>
      <c r="W24" s="82">
        <v>6.19</v>
      </c>
      <c r="X24" s="180">
        <v>3.8772213459014893</v>
      </c>
      <c r="Y24" s="180">
        <v>3.8772213459014893</v>
      </c>
      <c r="Z24" s="309">
        <v>4.2003231048583984</v>
      </c>
      <c r="AA24" s="158">
        <v>38.96185302734375</v>
      </c>
      <c r="AB24" s="2">
        <v>24</v>
      </c>
      <c r="AC24" s="2">
        <v>0</v>
      </c>
      <c r="AD24" s="34">
        <v>45805</v>
      </c>
      <c r="AF24" s="12">
        <v>0.01</v>
      </c>
      <c r="AG24" s="12">
        <v>0.4</v>
      </c>
      <c r="AH24" s="144">
        <v>3.0000000000000001E-3</v>
      </c>
    </row>
    <row r="25" spans="1:34" x14ac:dyDescent="0.3">
      <c r="A25" s="105">
        <v>25</v>
      </c>
      <c r="B25" s="2" t="s">
        <v>408</v>
      </c>
      <c r="C25" s="82">
        <v>6.18</v>
      </c>
      <c r="D25" s="309">
        <v>4.0453076362609863</v>
      </c>
      <c r="E25" s="309">
        <v>4.0453076362609863</v>
      </c>
      <c r="F25" s="309">
        <v>4.2071199417114258</v>
      </c>
      <c r="G25" s="158">
        <v>40.696975708007813</v>
      </c>
      <c r="H25" s="2">
        <v>25</v>
      </c>
      <c r="I25" s="2">
        <v>0</v>
      </c>
      <c r="J25" s="58">
        <v>45763</v>
      </c>
      <c r="K25" s="105">
        <v>25</v>
      </c>
      <c r="L25" s="2" t="s">
        <v>408</v>
      </c>
      <c r="M25" s="82">
        <v>6.41</v>
      </c>
      <c r="N25" s="180">
        <v>3.9001560211181641</v>
      </c>
      <c r="O25" s="180">
        <v>3.9001560211181641</v>
      </c>
      <c r="P25" s="180">
        <v>3.9001560211181641</v>
      </c>
      <c r="Q25" s="158">
        <v>38.245811462402344</v>
      </c>
      <c r="R25" s="2">
        <v>25</v>
      </c>
      <c r="S25" s="2">
        <v>0</v>
      </c>
      <c r="T25" s="34">
        <v>45712</v>
      </c>
      <c r="U25" s="105">
        <v>25</v>
      </c>
      <c r="V25" s="2" t="s">
        <v>433</v>
      </c>
      <c r="W25" s="171">
        <v>6.68</v>
      </c>
      <c r="X25" s="310">
        <v>3.7425150871276855</v>
      </c>
      <c r="Y25" s="309">
        <v>4.0419163703918457</v>
      </c>
      <c r="Z25" s="181">
        <v>4.6407184600830078</v>
      </c>
      <c r="AA25" s="172">
        <v>35.655170440673828</v>
      </c>
      <c r="AB25" s="2">
        <v>27</v>
      </c>
      <c r="AC25" s="2">
        <v>0</v>
      </c>
      <c r="AD25" s="34">
        <v>45763</v>
      </c>
      <c r="AF25" s="12">
        <v>0.15</v>
      </c>
      <c r="AG25" s="12">
        <v>3.3899999999999997</v>
      </c>
      <c r="AH25" s="144">
        <v>3.6999999999999998E-2</v>
      </c>
    </row>
    <row r="26" spans="1:34" x14ac:dyDescent="0.3">
      <c r="A26" s="105">
        <v>26</v>
      </c>
      <c r="B26" s="2" t="s">
        <v>400</v>
      </c>
      <c r="C26" s="84">
        <v>7.02</v>
      </c>
      <c r="D26" s="310">
        <v>3.7037036418914795</v>
      </c>
      <c r="E26" s="182">
        <v>4.2735042572021484</v>
      </c>
      <c r="F26" s="181">
        <v>4.5584044456481934</v>
      </c>
      <c r="G26" s="172">
        <v>34.080249786376953</v>
      </c>
      <c r="H26" s="2">
        <v>30</v>
      </c>
      <c r="I26" s="2">
        <v>0</v>
      </c>
      <c r="J26" s="58">
        <v>45716</v>
      </c>
      <c r="K26" s="105">
        <v>26</v>
      </c>
      <c r="L26" s="2" t="s">
        <v>391</v>
      </c>
      <c r="M26" s="85">
        <v>7.55</v>
      </c>
      <c r="N26" s="178">
        <v>3.4437084197998047</v>
      </c>
      <c r="O26" s="180">
        <v>3.9735097885131836</v>
      </c>
      <c r="P26" s="309">
        <v>4.238410472869873</v>
      </c>
      <c r="Q26" s="172">
        <v>30.11383056640625</v>
      </c>
      <c r="R26" s="2">
        <v>30</v>
      </c>
      <c r="S26" s="2">
        <v>0</v>
      </c>
      <c r="T26" s="34">
        <v>45706</v>
      </c>
      <c r="U26" s="105">
        <v>26</v>
      </c>
      <c r="V26" s="2" t="s">
        <v>400</v>
      </c>
      <c r="W26" s="85">
        <v>7.57</v>
      </c>
      <c r="X26" s="178">
        <v>3.43461012840271</v>
      </c>
      <c r="Y26" s="310">
        <v>3.6988110542297363</v>
      </c>
      <c r="Z26" s="180">
        <v>3.9630117416381836</v>
      </c>
      <c r="AA26" s="172">
        <v>29.978702545166016</v>
      </c>
      <c r="AB26" s="2">
        <v>28</v>
      </c>
      <c r="AC26" s="2">
        <v>0</v>
      </c>
      <c r="AD26" s="34">
        <v>45761</v>
      </c>
      <c r="AF26" s="12">
        <v>0.26</v>
      </c>
      <c r="AG26" s="12">
        <v>4.84</v>
      </c>
      <c r="AH26" s="144">
        <v>7.4999999999999997E-2</v>
      </c>
    </row>
    <row r="27" spans="1:34" x14ac:dyDescent="0.3">
      <c r="A27" s="105">
        <v>27</v>
      </c>
      <c r="B27" s="2" t="s">
        <v>408</v>
      </c>
      <c r="C27" s="16">
        <v>5.78</v>
      </c>
      <c r="D27" s="181">
        <v>4.6712799072265625</v>
      </c>
      <c r="E27" s="181">
        <v>4.6712799072265625</v>
      </c>
      <c r="F27" s="311">
        <v>5.017301082611084</v>
      </c>
      <c r="G27" s="158">
        <v>49.248035430908203</v>
      </c>
      <c r="H27" s="2">
        <v>27</v>
      </c>
      <c r="I27" s="2">
        <v>0</v>
      </c>
      <c r="J27" s="58">
        <v>45763</v>
      </c>
      <c r="K27" s="105">
        <v>27</v>
      </c>
      <c r="L27" s="2" t="s">
        <v>433</v>
      </c>
      <c r="M27" s="171">
        <v>6.88</v>
      </c>
      <c r="N27" s="180">
        <v>3.9244184494018555</v>
      </c>
      <c r="O27" s="309">
        <v>4.215116024017334</v>
      </c>
      <c r="P27" s="181">
        <v>4.5058140754699707</v>
      </c>
      <c r="Q27" s="172">
        <v>36.624011993408203</v>
      </c>
      <c r="R27" s="2">
        <v>29</v>
      </c>
      <c r="S27" s="2">
        <v>0</v>
      </c>
      <c r="T27" s="34">
        <v>45765</v>
      </c>
      <c r="U27" s="105">
        <v>27</v>
      </c>
      <c r="V27" s="2" t="s">
        <v>397</v>
      </c>
      <c r="W27" s="171">
        <v>6.9</v>
      </c>
      <c r="X27" s="180">
        <v>3.9130434989929199</v>
      </c>
      <c r="Y27" s="309">
        <v>4.2028985023498535</v>
      </c>
      <c r="Z27" s="182">
        <v>4.4927535057067871</v>
      </c>
      <c r="AA27" s="172">
        <v>36.443729400634766</v>
      </c>
      <c r="AB27" s="2">
        <v>29</v>
      </c>
      <c r="AC27" s="2">
        <v>0</v>
      </c>
      <c r="AD27" s="34">
        <v>45761</v>
      </c>
      <c r="AF27" s="12">
        <v>0.75</v>
      </c>
      <c r="AG27" s="12">
        <v>10.93</v>
      </c>
      <c r="AH27" s="144">
        <v>0.19</v>
      </c>
    </row>
    <row r="28" spans="1:34" x14ac:dyDescent="0.3">
      <c r="A28" s="105">
        <v>28</v>
      </c>
      <c r="B28" s="2" t="s">
        <v>400</v>
      </c>
      <c r="C28" s="84">
        <v>7.22</v>
      </c>
      <c r="D28" s="180">
        <v>3.8781163692474365</v>
      </c>
      <c r="E28" s="182">
        <v>4.2936291694641113</v>
      </c>
      <c r="F28" s="182">
        <v>4.4321331977844238</v>
      </c>
      <c r="G28" s="172">
        <v>34.990272521972656</v>
      </c>
      <c r="H28" s="2">
        <v>31</v>
      </c>
      <c r="I28" s="2">
        <v>0</v>
      </c>
      <c r="J28" s="58">
        <v>45763</v>
      </c>
      <c r="K28" s="105">
        <v>28</v>
      </c>
      <c r="L28" s="2" t="s">
        <v>397</v>
      </c>
      <c r="M28" s="84">
        <v>7.36</v>
      </c>
      <c r="N28" s="180">
        <v>3.8043477535247803</v>
      </c>
      <c r="O28" s="180">
        <v>3.8043477535247803</v>
      </c>
      <c r="P28" s="309">
        <v>4.2119565010070801</v>
      </c>
      <c r="Q28" s="172">
        <v>33.866336822509766</v>
      </c>
      <c r="R28" s="2">
        <v>28</v>
      </c>
      <c r="S28" s="2">
        <v>0</v>
      </c>
      <c r="T28" s="34">
        <v>45706</v>
      </c>
      <c r="U28" s="105">
        <v>28</v>
      </c>
      <c r="V28" s="2" t="s">
        <v>433</v>
      </c>
      <c r="W28" s="84">
        <v>7.47</v>
      </c>
      <c r="X28" s="310">
        <v>3.7483267784118652</v>
      </c>
      <c r="Y28" s="309">
        <v>4.0160641670227051</v>
      </c>
      <c r="Z28" s="182">
        <v>4.2838020324707031</v>
      </c>
      <c r="AA28" s="172">
        <v>33.022922515869141</v>
      </c>
      <c r="AB28" s="2">
        <v>30</v>
      </c>
      <c r="AC28" s="2">
        <v>0</v>
      </c>
      <c r="AD28" s="34">
        <v>45761</v>
      </c>
      <c r="AF28" s="12">
        <v>7.0000000000000007E-2</v>
      </c>
      <c r="AG28" s="12">
        <v>0.83</v>
      </c>
      <c r="AH28" s="144">
        <v>1.9E-2</v>
      </c>
    </row>
    <row r="29" spans="1:34" x14ac:dyDescent="0.3">
      <c r="A29" s="105">
        <v>29</v>
      </c>
      <c r="B29" s="2" t="s">
        <v>391</v>
      </c>
      <c r="C29" s="84">
        <v>7.47</v>
      </c>
      <c r="D29" s="180">
        <v>3.8821954727172852</v>
      </c>
      <c r="E29" s="309">
        <v>4.1499333381652832</v>
      </c>
      <c r="F29" s="183">
        <v>4.819277286529541</v>
      </c>
      <c r="G29" s="172">
        <v>34.202316284179688</v>
      </c>
      <c r="H29" s="2">
        <v>31</v>
      </c>
      <c r="I29" s="2">
        <v>0</v>
      </c>
      <c r="J29" s="58">
        <v>45706</v>
      </c>
      <c r="K29" s="105">
        <v>29</v>
      </c>
      <c r="L29" s="2" t="s">
        <v>391</v>
      </c>
      <c r="M29" s="86">
        <v>8.48</v>
      </c>
      <c r="N29" s="178">
        <v>3.419811487197876</v>
      </c>
      <c r="O29" s="180">
        <v>3.8915095329284668</v>
      </c>
      <c r="P29" s="182">
        <v>4.4811325073242188</v>
      </c>
      <c r="Q29" s="172">
        <v>27.569417953491211</v>
      </c>
      <c r="R29" s="2">
        <v>33</v>
      </c>
      <c r="S29" s="2">
        <v>0</v>
      </c>
      <c r="T29" s="34">
        <v>45763</v>
      </c>
      <c r="U29" s="105">
        <v>29</v>
      </c>
      <c r="V29" s="2" t="s">
        <v>433</v>
      </c>
      <c r="W29" s="86">
        <v>8.5</v>
      </c>
      <c r="X29" s="178">
        <v>3.4117646217346191</v>
      </c>
      <c r="Y29" s="180">
        <v>3.8823528289794922</v>
      </c>
      <c r="Z29" s="309">
        <v>4.2352943420410156</v>
      </c>
      <c r="AA29" s="172">
        <v>27.459228515625</v>
      </c>
      <c r="AB29" s="2">
        <v>33</v>
      </c>
      <c r="AC29" s="2">
        <v>0</v>
      </c>
      <c r="AD29" s="34">
        <v>45805</v>
      </c>
      <c r="AF29" s="12">
        <v>0.46</v>
      </c>
      <c r="AG29" s="12">
        <v>4</v>
      </c>
      <c r="AH29" s="144">
        <v>0.13500000000000001</v>
      </c>
    </row>
    <row r="30" spans="1:34" x14ac:dyDescent="0.3">
      <c r="A30" s="105">
        <v>30</v>
      </c>
      <c r="B30" s="2" t="s">
        <v>408</v>
      </c>
      <c r="C30" s="86">
        <v>8.33</v>
      </c>
      <c r="D30" s="310">
        <v>3.6014406681060791</v>
      </c>
      <c r="E30" s="309">
        <v>4.0816326141357422</v>
      </c>
      <c r="F30" s="182">
        <v>4.3217287063598633</v>
      </c>
      <c r="G30" s="172">
        <v>29.398639678955078</v>
      </c>
      <c r="H30" s="2">
        <v>34</v>
      </c>
      <c r="I30" s="2">
        <v>0</v>
      </c>
      <c r="J30" s="58">
        <v>45810</v>
      </c>
      <c r="K30" s="105">
        <v>30</v>
      </c>
      <c r="L30" s="2" t="s">
        <v>453</v>
      </c>
      <c r="M30" s="86">
        <v>8.44</v>
      </c>
      <c r="N30" s="310">
        <v>3.5545024871826172</v>
      </c>
      <c r="O30" s="182">
        <v>4.2654032707214355</v>
      </c>
      <c r="P30" s="181">
        <v>4.6208534240722656</v>
      </c>
      <c r="Q30" s="172">
        <v>28.750249862670898</v>
      </c>
      <c r="R30" s="2">
        <v>36</v>
      </c>
      <c r="S30" s="2">
        <v>0</v>
      </c>
      <c r="T30" s="34">
        <v>45705</v>
      </c>
      <c r="U30" s="105">
        <v>30</v>
      </c>
      <c r="V30" s="2" t="s">
        <v>433</v>
      </c>
      <c r="W30" s="86">
        <v>8.9499999999999993</v>
      </c>
      <c r="X30" s="178">
        <v>3.3519554138183594</v>
      </c>
      <c r="Y30" s="309">
        <v>4.1340785026550293</v>
      </c>
      <c r="Z30" s="182">
        <v>4.3575420379638672</v>
      </c>
      <c r="AA30" s="172">
        <v>26.021038055419922</v>
      </c>
      <c r="AB30" s="2">
        <v>37</v>
      </c>
      <c r="AC30" s="2">
        <v>0</v>
      </c>
      <c r="AD30" s="34">
        <v>45761</v>
      </c>
      <c r="AF30" s="12">
        <v>0.05</v>
      </c>
      <c r="AG30" s="12">
        <v>0.28999999999999998</v>
      </c>
      <c r="AH30" s="144">
        <v>1.2999999999999999E-2</v>
      </c>
    </row>
    <row r="31" spans="1:34" x14ac:dyDescent="0.3">
      <c r="A31" s="105">
        <v>31</v>
      </c>
      <c r="B31" s="2" t="s">
        <v>391</v>
      </c>
      <c r="C31" s="86">
        <v>8.15</v>
      </c>
      <c r="D31" s="180">
        <v>3.8036811351776123</v>
      </c>
      <c r="E31" s="182">
        <v>4.2944788932800293</v>
      </c>
      <c r="F31" s="181">
        <v>4.6625766754150391</v>
      </c>
      <c r="G31" s="172">
        <v>31.527992248535156</v>
      </c>
      <c r="H31" s="2">
        <v>35</v>
      </c>
      <c r="I31" s="2">
        <v>0</v>
      </c>
      <c r="J31" s="58">
        <v>45761</v>
      </c>
      <c r="K31" s="105">
        <v>31</v>
      </c>
      <c r="L31" s="2" t="s">
        <v>408</v>
      </c>
      <c r="M31" s="86">
        <v>8.4</v>
      </c>
      <c r="N31" s="310">
        <v>3.6904764175415039</v>
      </c>
      <c r="O31" s="310">
        <v>3.6904764175415039</v>
      </c>
      <c r="P31" s="180">
        <v>3.9285717010498047</v>
      </c>
      <c r="Q31" s="172">
        <v>29.949491500854492</v>
      </c>
      <c r="R31" s="2">
        <v>31</v>
      </c>
      <c r="S31" s="2">
        <v>0</v>
      </c>
      <c r="T31" s="34">
        <v>45716</v>
      </c>
      <c r="U31" s="105">
        <v>31</v>
      </c>
      <c r="V31" s="2" t="s">
        <v>493</v>
      </c>
      <c r="W31" s="87">
        <v>9.9600000000000009</v>
      </c>
      <c r="X31" s="308">
        <v>3.1124498844146729</v>
      </c>
      <c r="Y31" s="310">
        <v>3.6144578456878662</v>
      </c>
      <c r="Z31" s="182">
        <v>4.3172688484191895</v>
      </c>
      <c r="AA31" s="186">
        <v>22.419364929199219</v>
      </c>
      <c r="AB31" s="2">
        <v>36</v>
      </c>
      <c r="AC31" s="2">
        <v>0</v>
      </c>
      <c r="AD31" s="34">
        <v>45717</v>
      </c>
      <c r="AF31" s="12">
        <v>0.11</v>
      </c>
      <c r="AG31" s="12">
        <v>0.53</v>
      </c>
      <c r="AH31" s="144">
        <v>3.1E-2</v>
      </c>
    </row>
    <row r="32" spans="1:34" x14ac:dyDescent="0.3">
      <c r="A32" s="105">
        <v>32</v>
      </c>
      <c r="B32" s="2" t="s">
        <v>433</v>
      </c>
      <c r="C32" s="87">
        <v>9.5</v>
      </c>
      <c r="D32" s="178">
        <v>3.3684210777282715</v>
      </c>
      <c r="E32" s="310">
        <v>3.6842105388641357</v>
      </c>
      <c r="F32" s="180">
        <v>3.8947367668151855</v>
      </c>
      <c r="G32" s="172">
        <v>25.079700469970703</v>
      </c>
      <c r="H32" s="2">
        <v>35</v>
      </c>
      <c r="I32" s="2">
        <v>0</v>
      </c>
      <c r="J32" s="58">
        <v>45762</v>
      </c>
      <c r="K32" s="105">
        <v>32</v>
      </c>
      <c r="L32" s="2" t="s">
        <v>391</v>
      </c>
      <c r="M32" s="88">
        <v>10.1</v>
      </c>
      <c r="N32" s="308">
        <v>3.1683166027069092</v>
      </c>
      <c r="O32" s="310">
        <v>3.6633660793304443</v>
      </c>
      <c r="P32" s="180">
        <v>3.8613860607147217</v>
      </c>
      <c r="Q32" s="186">
        <v>22.599878311157227</v>
      </c>
      <c r="R32" s="2">
        <v>37</v>
      </c>
      <c r="S32" s="2">
        <v>0</v>
      </c>
      <c r="T32" s="34">
        <v>45761</v>
      </c>
      <c r="U32" s="105">
        <v>32</v>
      </c>
      <c r="V32" s="2" t="s">
        <v>412</v>
      </c>
      <c r="W32" s="88">
        <v>10.71</v>
      </c>
      <c r="X32" s="176">
        <v>2.9878618717193604</v>
      </c>
      <c r="Y32" s="178">
        <v>3.361344575881958</v>
      </c>
      <c r="Z32" s="310">
        <v>3.7348272800445557</v>
      </c>
      <c r="AA32" s="186">
        <v>20.455513000488281</v>
      </c>
      <c r="AB32" s="2">
        <v>36</v>
      </c>
      <c r="AC32" s="2">
        <v>0</v>
      </c>
      <c r="AD32" s="34">
        <v>45711</v>
      </c>
      <c r="AF32" s="12">
        <v>0.2</v>
      </c>
      <c r="AG32" s="12">
        <v>0.73</v>
      </c>
      <c r="AH32" s="144">
        <v>6.3E-2</v>
      </c>
    </row>
    <row r="33" spans="1:34" x14ac:dyDescent="0.3">
      <c r="A33" s="105">
        <v>33</v>
      </c>
      <c r="B33" s="2" t="s">
        <v>482</v>
      </c>
      <c r="C33" s="86">
        <v>8.73</v>
      </c>
      <c r="D33" s="180">
        <v>3.7800688743591309</v>
      </c>
      <c r="E33" s="181">
        <v>4.6964492797851563</v>
      </c>
      <c r="F33" s="183">
        <v>4.925544261932373</v>
      </c>
      <c r="G33" s="172">
        <v>29.86016845703125</v>
      </c>
      <c r="H33" s="2">
        <v>41</v>
      </c>
      <c r="I33" s="2">
        <v>0</v>
      </c>
      <c r="J33" s="58">
        <v>45763</v>
      </c>
      <c r="K33" s="105">
        <v>33</v>
      </c>
      <c r="L33" s="2" t="s">
        <v>433</v>
      </c>
      <c r="M33" s="87">
        <v>9.58</v>
      </c>
      <c r="N33" s="178">
        <v>3.444676399230957</v>
      </c>
      <c r="O33" s="180">
        <v>3.9665970802307129</v>
      </c>
      <c r="P33" s="309">
        <v>4.1753654479980469</v>
      </c>
      <c r="Q33" s="172">
        <v>25.497350692749023</v>
      </c>
      <c r="R33" s="2">
        <v>38</v>
      </c>
      <c r="S33" s="2">
        <v>0</v>
      </c>
      <c r="T33" s="34">
        <v>45804</v>
      </c>
      <c r="W33" s="87"/>
      <c r="X33" s="178"/>
      <c r="Y33" s="176"/>
      <c r="Z33" s="307"/>
      <c r="AA33" s="172"/>
      <c r="AF33" s="12">
        <v>0.34</v>
      </c>
      <c r="AG33" s="12">
        <v>0.80999999999999994</v>
      </c>
      <c r="AH33" s="144">
        <v>9.7000000000000003E-2</v>
      </c>
    </row>
    <row r="34" spans="1:34" x14ac:dyDescent="0.3">
      <c r="A34" s="105">
        <v>34</v>
      </c>
      <c r="B34" s="2" t="s">
        <v>493</v>
      </c>
      <c r="C34" s="87">
        <v>9.31</v>
      </c>
      <c r="D34" s="310">
        <v>3.651986837387085</v>
      </c>
      <c r="E34" s="182">
        <v>4.2964553833007813</v>
      </c>
      <c r="F34" s="181">
        <v>4.7261009216308594</v>
      </c>
      <c r="G34" s="172">
        <v>27.578264236450195</v>
      </c>
      <c r="H34" s="2">
        <v>40</v>
      </c>
      <c r="I34" s="2">
        <v>0</v>
      </c>
      <c r="J34" s="58">
        <v>45793</v>
      </c>
      <c r="K34" s="105">
        <v>34</v>
      </c>
      <c r="L34" s="2" t="s">
        <v>391</v>
      </c>
      <c r="M34" s="87">
        <v>9.5399999999999991</v>
      </c>
      <c r="N34" s="310">
        <v>3.5639412403106689</v>
      </c>
      <c r="O34" s="180">
        <v>3.9832284450531006</v>
      </c>
      <c r="P34" s="182">
        <v>4.2976937294006348</v>
      </c>
      <c r="Q34" s="172">
        <v>26.457521438598633</v>
      </c>
      <c r="R34" s="2">
        <v>38</v>
      </c>
      <c r="S34" s="2">
        <v>0</v>
      </c>
      <c r="T34" s="34">
        <v>45810</v>
      </c>
      <c r="U34" s="105">
        <v>34</v>
      </c>
      <c r="V34" s="2" t="s">
        <v>408</v>
      </c>
      <c r="W34" s="87">
        <v>9.8800000000000008</v>
      </c>
      <c r="X34" s="178">
        <v>3.4412956237792969</v>
      </c>
      <c r="Y34" s="310">
        <v>3.7449393272399902</v>
      </c>
      <c r="Z34" s="309">
        <v>4.1497974395751953</v>
      </c>
      <c r="AA34" s="186">
        <v>24.928411483764648</v>
      </c>
      <c r="AB34" s="2">
        <v>37</v>
      </c>
      <c r="AC34" s="2">
        <v>0</v>
      </c>
      <c r="AD34" s="34">
        <v>45675</v>
      </c>
      <c r="AF34" s="12">
        <v>0.09</v>
      </c>
      <c r="AG34" s="12">
        <v>0.15</v>
      </c>
      <c r="AH34" s="144">
        <v>2.5000000000000001E-2</v>
      </c>
    </row>
    <row r="35" spans="1:34" x14ac:dyDescent="0.3">
      <c r="A35" s="105">
        <v>35</v>
      </c>
      <c r="B35" s="2" t="s">
        <v>433</v>
      </c>
      <c r="C35" s="88">
        <v>10.1</v>
      </c>
      <c r="D35" s="178">
        <v>3.4653463363647461</v>
      </c>
      <c r="E35" s="180">
        <v>3.762376070022583</v>
      </c>
      <c r="F35" s="182">
        <v>4.2574257850646973</v>
      </c>
      <c r="G35" s="186">
        <v>24.718616485595703</v>
      </c>
      <c r="H35" s="2">
        <v>38</v>
      </c>
      <c r="I35" s="2">
        <v>0</v>
      </c>
      <c r="J35" s="58">
        <v>45721</v>
      </c>
    </row>
    <row r="37" spans="1:34" x14ac:dyDescent="0.3">
      <c r="A37" s="105">
        <v>37</v>
      </c>
      <c r="B37" s="2" t="s">
        <v>453</v>
      </c>
      <c r="C37" s="2">
        <v>12.07</v>
      </c>
      <c r="D37" s="308">
        <v>3.0654516220092773</v>
      </c>
      <c r="E37" s="310">
        <v>3.6454019546508789</v>
      </c>
      <c r="F37" s="309">
        <v>4.1425023078918457</v>
      </c>
      <c r="G37" s="186">
        <v>19.301980972290039</v>
      </c>
      <c r="H37" s="2">
        <v>44</v>
      </c>
      <c r="I37" s="2">
        <v>0</v>
      </c>
      <c r="J37" s="58">
        <v>45720</v>
      </c>
    </row>
    <row r="56" spans="1:10" x14ac:dyDescent="0.3">
      <c r="A56" s="105">
        <v>31</v>
      </c>
      <c r="B56" s="2" t="s">
        <v>417</v>
      </c>
      <c r="C56" s="84">
        <v>20.85</v>
      </c>
      <c r="D56" s="174">
        <v>1.486810564994812</v>
      </c>
      <c r="E56" s="175">
        <v>1.8705035448074341</v>
      </c>
      <c r="F56" s="185">
        <v>2.0143885612487793</v>
      </c>
      <c r="G56" s="172">
        <v>28.734020233154297</v>
      </c>
      <c r="H56" s="2">
        <v>39</v>
      </c>
      <c r="I56" s="2">
        <v>0</v>
      </c>
      <c r="J56" s="58">
        <v>45742</v>
      </c>
    </row>
    <row r="60" spans="1:10" x14ac:dyDescent="0.3">
      <c r="A60" s="105">
        <v>35</v>
      </c>
      <c r="B60" s="2" t="s">
        <v>398</v>
      </c>
      <c r="C60" s="81">
        <v>16.43</v>
      </c>
      <c r="D60" s="185">
        <v>2.1302495002746582</v>
      </c>
      <c r="E60" s="176">
        <v>2.7997565269470215</v>
      </c>
      <c r="F60" s="178">
        <v>3.2866706848144531</v>
      </c>
      <c r="G60" s="158">
        <v>48.640628814697266</v>
      </c>
      <c r="H60" s="2">
        <v>46</v>
      </c>
      <c r="I60" s="2">
        <v>0</v>
      </c>
      <c r="J60" s="58">
        <v>45712</v>
      </c>
    </row>
    <row r="63" spans="1:10" x14ac:dyDescent="0.3">
      <c r="A63" s="105">
        <v>38</v>
      </c>
      <c r="B63" s="2" t="s">
        <v>403</v>
      </c>
      <c r="C63" s="81">
        <v>16.78</v>
      </c>
      <c r="D63" s="179">
        <v>2.2646005153656006</v>
      </c>
      <c r="E63" s="176">
        <v>2.9201428890228271</v>
      </c>
      <c r="F63" s="178">
        <v>3.2777113914489746</v>
      </c>
      <c r="G63" s="157">
        <v>50.950946807861328</v>
      </c>
      <c r="H63" s="2">
        <v>49</v>
      </c>
      <c r="I63" s="2">
        <v>0</v>
      </c>
      <c r="J63" s="58">
        <v>45776</v>
      </c>
    </row>
    <row r="64" spans="1:10" x14ac:dyDescent="0.3">
      <c r="C64" s="88"/>
      <c r="D64" s="174"/>
      <c r="E64" s="175"/>
      <c r="F64" s="175"/>
      <c r="G64" s="186"/>
    </row>
    <row r="65" spans="1:34" x14ac:dyDescent="0.3">
      <c r="A65" s="105">
        <v>40</v>
      </c>
      <c r="B65" s="2" t="s">
        <v>395</v>
      </c>
      <c r="C65" s="15">
        <v>15.62</v>
      </c>
      <c r="D65" s="177">
        <v>2.5608193874359131</v>
      </c>
      <c r="E65" s="176">
        <v>2.8169014453887939</v>
      </c>
      <c r="F65" s="308">
        <v>3.008962869644165</v>
      </c>
      <c r="G65" s="159">
        <v>60.578323364257813</v>
      </c>
      <c r="H65" s="2">
        <v>44</v>
      </c>
      <c r="I65" s="2">
        <v>0</v>
      </c>
      <c r="J65" s="58">
        <v>45766</v>
      </c>
      <c r="M65" s="171"/>
      <c r="N65" s="185"/>
      <c r="O65" s="177"/>
      <c r="P65" s="307"/>
      <c r="Q65" s="158"/>
    </row>
    <row r="66" spans="1:34" x14ac:dyDescent="0.3">
      <c r="A66" s="105">
        <v>41</v>
      </c>
      <c r="B66" s="2" t="s">
        <v>431</v>
      </c>
      <c r="C66" s="171">
        <v>19.32</v>
      </c>
      <c r="D66" s="185">
        <v>2.1221532821655273</v>
      </c>
      <c r="E66" s="176">
        <v>2.8985507488250732</v>
      </c>
      <c r="F66" s="308">
        <v>3.1573500633239746</v>
      </c>
      <c r="G66" s="158">
        <v>43.260025024414063</v>
      </c>
      <c r="H66" s="2">
        <v>56</v>
      </c>
      <c r="I66" s="2">
        <v>0</v>
      </c>
      <c r="J66" s="58">
        <v>45767</v>
      </c>
      <c r="K66" s="105">
        <v>41</v>
      </c>
      <c r="L66" s="2" t="s">
        <v>406</v>
      </c>
      <c r="M66" s="2">
        <v>31.42</v>
      </c>
      <c r="N66" s="174">
        <v>1.3049013614654541</v>
      </c>
      <c r="O66" s="175">
        <v>1.6231698989868164</v>
      </c>
      <c r="P66" s="175">
        <v>1.7504774332046509</v>
      </c>
      <c r="Q66" s="186">
        <v>18.925542831420898</v>
      </c>
      <c r="R66" s="2">
        <v>51</v>
      </c>
      <c r="S66" s="2">
        <v>0</v>
      </c>
      <c r="T66" s="34">
        <v>45764</v>
      </c>
      <c r="AF66" s="12">
        <v>0.82</v>
      </c>
      <c r="AG66" s="12">
        <v>2.9</v>
      </c>
      <c r="AH66" s="144">
        <v>0.626</v>
      </c>
    </row>
    <row r="67" spans="1:34" x14ac:dyDescent="0.3">
      <c r="A67" s="105">
        <v>42</v>
      </c>
      <c r="B67" s="2" t="s">
        <v>392</v>
      </c>
      <c r="C67" s="80">
        <v>14.89</v>
      </c>
      <c r="D67" s="176">
        <v>2.8206849098205566</v>
      </c>
      <c r="E67" s="178">
        <v>3.3579583168029785</v>
      </c>
      <c r="F67" s="178">
        <v>3.492276668548584</v>
      </c>
      <c r="G67" s="163">
        <v>68.999076843261719</v>
      </c>
      <c r="H67" s="2">
        <v>50</v>
      </c>
      <c r="I67" s="2">
        <v>0</v>
      </c>
      <c r="J67" s="58">
        <v>45801</v>
      </c>
      <c r="K67" s="105">
        <v>42</v>
      </c>
      <c r="L67" s="2" t="s">
        <v>401</v>
      </c>
      <c r="M67" s="81">
        <v>16.5</v>
      </c>
      <c r="N67" s="177">
        <v>2.5454545021057129</v>
      </c>
      <c r="O67" s="178">
        <v>3.2727272510528564</v>
      </c>
      <c r="P67" s="310">
        <v>3.5151515007019043</v>
      </c>
      <c r="Q67" s="159">
        <v>57.948417663574219</v>
      </c>
      <c r="R67" s="2">
        <v>54</v>
      </c>
      <c r="S67" s="2">
        <v>0</v>
      </c>
      <c r="T67" s="34">
        <v>45804</v>
      </c>
      <c r="U67" s="105">
        <v>42</v>
      </c>
      <c r="V67" s="2" t="s">
        <v>406</v>
      </c>
      <c r="W67" s="81">
        <v>16.86</v>
      </c>
      <c r="X67" s="179">
        <v>2.4911031723022461</v>
      </c>
      <c r="Y67" s="178">
        <v>3.3214707374572754</v>
      </c>
      <c r="Z67" s="178">
        <v>3.4994068145751953</v>
      </c>
      <c r="AA67" s="157">
        <v>55.860702514648438</v>
      </c>
      <c r="AB67" s="2">
        <v>56</v>
      </c>
      <c r="AC67" s="2">
        <v>0</v>
      </c>
      <c r="AD67" s="34">
        <v>45716</v>
      </c>
      <c r="AF67" s="12">
        <v>0.28000000000000003</v>
      </c>
      <c r="AG67" s="12">
        <v>1.22</v>
      </c>
      <c r="AH67" s="144">
        <v>0.108</v>
      </c>
    </row>
    <row r="68" spans="1:34" x14ac:dyDescent="0.3">
      <c r="A68" s="105">
        <v>43</v>
      </c>
      <c r="B68" s="2" t="s">
        <v>510</v>
      </c>
      <c r="C68" s="82">
        <v>18.2</v>
      </c>
      <c r="D68" s="179">
        <v>2.3626372814178467</v>
      </c>
      <c r="E68" s="176">
        <v>2.9120876789093018</v>
      </c>
      <c r="F68" s="178">
        <v>3.3516480922698975</v>
      </c>
      <c r="G68" s="157">
        <v>50.218307495117188</v>
      </c>
      <c r="H68" s="2">
        <v>53</v>
      </c>
      <c r="I68" s="2">
        <v>0</v>
      </c>
      <c r="J68" s="58">
        <v>45810</v>
      </c>
      <c r="K68" s="105">
        <v>43</v>
      </c>
      <c r="L68" s="2" t="s">
        <v>442</v>
      </c>
      <c r="M68" s="171">
        <v>19.02</v>
      </c>
      <c r="N68" s="179">
        <v>2.2607781887054443</v>
      </c>
      <c r="O68" s="176">
        <v>2.8391165733337402</v>
      </c>
      <c r="P68" s="176">
        <v>2.9968452453613281</v>
      </c>
      <c r="Q68" s="158">
        <v>46.593524932861328</v>
      </c>
      <c r="R68" s="2">
        <v>54</v>
      </c>
      <c r="S68" s="2">
        <v>0</v>
      </c>
      <c r="T68" s="34">
        <v>45716</v>
      </c>
      <c r="AF68" s="12">
        <v>0.1</v>
      </c>
      <c r="AG68" s="12">
        <v>0.55999999999999994</v>
      </c>
      <c r="AH68" s="144">
        <v>4.4999999999999998E-2</v>
      </c>
    </row>
    <row r="69" spans="1:34" x14ac:dyDescent="0.3">
      <c r="A69" s="105">
        <v>44</v>
      </c>
      <c r="B69" s="2" t="s">
        <v>434</v>
      </c>
      <c r="C69" s="82">
        <v>18.72</v>
      </c>
      <c r="D69" s="179">
        <v>2.3504273891448975</v>
      </c>
      <c r="E69" s="308">
        <v>3.0982906818389893</v>
      </c>
      <c r="F69" s="310">
        <v>3.6324787139892578</v>
      </c>
      <c r="G69" s="158">
        <v>48.983268737792969</v>
      </c>
      <c r="H69" s="2">
        <v>58</v>
      </c>
      <c r="I69" s="2">
        <v>0</v>
      </c>
      <c r="J69" s="58">
        <v>45763</v>
      </c>
      <c r="K69" s="105">
        <v>44</v>
      </c>
      <c r="L69" s="2" t="s">
        <v>438</v>
      </c>
      <c r="M69" s="82">
        <v>18.82</v>
      </c>
      <c r="N69" s="179">
        <v>2.3379383087158203</v>
      </c>
      <c r="O69" s="176">
        <v>2.7630181312561035</v>
      </c>
      <c r="P69" s="176">
        <v>2.9224228858947754</v>
      </c>
      <c r="Q69" s="158">
        <v>48.541629791259766</v>
      </c>
      <c r="R69" s="2">
        <v>52</v>
      </c>
      <c r="S69" s="2">
        <v>0</v>
      </c>
      <c r="T69" s="34">
        <v>45713</v>
      </c>
      <c r="X69" s="211"/>
      <c r="Y69" s="211"/>
      <c r="Z69" s="211"/>
      <c r="AA69" s="265"/>
      <c r="AF69" s="12">
        <v>0.01</v>
      </c>
      <c r="AG69" s="12">
        <v>0.08</v>
      </c>
      <c r="AH69" s="144">
        <v>5.0000000000000001E-3</v>
      </c>
    </row>
    <row r="70" spans="1:34" x14ac:dyDescent="0.3">
      <c r="A70" s="105">
        <v>45</v>
      </c>
      <c r="B70" s="2" t="s">
        <v>507</v>
      </c>
      <c r="C70" s="86">
        <v>22</v>
      </c>
      <c r="D70" s="185">
        <v>2.0454545021057129</v>
      </c>
      <c r="E70" s="308">
        <v>3.1363637447357178</v>
      </c>
      <c r="F70" s="310">
        <v>3.5</v>
      </c>
      <c r="G70" s="158">
        <v>38.072288513183594</v>
      </c>
      <c r="H70" s="2">
        <v>69</v>
      </c>
      <c r="I70" s="2">
        <v>0</v>
      </c>
      <c r="J70" s="58">
        <v>45674</v>
      </c>
    </row>
    <row r="71" spans="1:34" x14ac:dyDescent="0.3">
      <c r="A71" s="105">
        <v>46</v>
      </c>
      <c r="B71" s="2" t="s">
        <v>413</v>
      </c>
      <c r="C71" s="16">
        <v>17.600000000000001</v>
      </c>
      <c r="D71" s="177">
        <v>2.6136362552642822</v>
      </c>
      <c r="E71" s="178">
        <v>3.2954545021057129</v>
      </c>
      <c r="F71" s="310">
        <v>3.6931817531585693</v>
      </c>
      <c r="G71" s="159">
        <v>56.872367858886719</v>
      </c>
      <c r="H71" s="2">
        <v>58</v>
      </c>
      <c r="I71" s="2">
        <v>0</v>
      </c>
      <c r="J71" s="58">
        <v>45711</v>
      </c>
      <c r="K71" s="105">
        <v>46</v>
      </c>
      <c r="L71" s="2" t="s">
        <v>440</v>
      </c>
      <c r="M71" s="82">
        <v>18.829999999999998</v>
      </c>
      <c r="N71" s="179">
        <v>2.4429101943969727</v>
      </c>
      <c r="O71" s="310">
        <v>3.664365291595459</v>
      </c>
      <c r="P71" s="309">
        <v>4.0361127853393555</v>
      </c>
      <c r="Q71" s="157">
        <v>50.702259063720703</v>
      </c>
      <c r="R71" s="2">
        <v>69</v>
      </c>
      <c r="S71" s="2">
        <v>0</v>
      </c>
      <c r="T71" s="34">
        <v>45716</v>
      </c>
      <c r="U71" s="105">
        <v>46</v>
      </c>
      <c r="V71" s="2" t="s">
        <v>456</v>
      </c>
      <c r="W71" s="171">
        <v>19.63</v>
      </c>
      <c r="X71" s="179">
        <v>2.3433520793914795</v>
      </c>
      <c r="Y71" s="178">
        <v>3.2603158950805664</v>
      </c>
      <c r="Z71" s="310">
        <v>3.6169130802154541</v>
      </c>
      <c r="AA71" s="158">
        <v>47.239837646484375</v>
      </c>
      <c r="AB71" s="2">
        <v>64</v>
      </c>
      <c r="AC71" s="2">
        <v>0</v>
      </c>
      <c r="AD71" s="34">
        <v>45763</v>
      </c>
      <c r="AF71" s="12">
        <v>0.17</v>
      </c>
      <c r="AG71" s="12">
        <v>1.61</v>
      </c>
      <c r="AH71" s="144">
        <v>7.0000000000000007E-2</v>
      </c>
    </row>
    <row r="72" spans="1:34" x14ac:dyDescent="0.3">
      <c r="A72" s="105">
        <v>47</v>
      </c>
      <c r="B72" s="2" t="s">
        <v>436</v>
      </c>
      <c r="C72" s="82">
        <v>18.760000000000002</v>
      </c>
      <c r="D72" s="177">
        <v>2.5053305625915527</v>
      </c>
      <c r="E72" s="308">
        <v>3.1449892520904541</v>
      </c>
      <c r="F72" s="178">
        <v>3.4115138053894043</v>
      </c>
      <c r="G72" s="157">
        <v>52.133522033691406</v>
      </c>
      <c r="H72" s="2">
        <v>59</v>
      </c>
      <c r="I72" s="2">
        <v>0</v>
      </c>
      <c r="J72" s="58">
        <v>45805</v>
      </c>
      <c r="K72" s="105">
        <v>47</v>
      </c>
      <c r="L72" s="2" t="s">
        <v>444</v>
      </c>
      <c r="M72" s="171">
        <v>19.22</v>
      </c>
      <c r="N72" s="179">
        <v>2.4453694820404053</v>
      </c>
      <c r="O72" s="176">
        <v>2.9656608104705811</v>
      </c>
      <c r="P72" s="308">
        <v>3.1217482089996338</v>
      </c>
      <c r="Q72" s="157">
        <v>50.030189514160156</v>
      </c>
      <c r="R72" s="2">
        <v>57</v>
      </c>
      <c r="S72" s="2">
        <v>0</v>
      </c>
      <c r="T72" s="34">
        <v>45760</v>
      </c>
      <c r="U72" s="105">
        <v>47</v>
      </c>
      <c r="V72" s="2" t="s">
        <v>447</v>
      </c>
      <c r="W72" s="171">
        <v>19.23</v>
      </c>
      <c r="X72" s="179">
        <v>2.4440977573394775</v>
      </c>
      <c r="Y72" s="178">
        <v>3.3801352977752686</v>
      </c>
      <c r="Z72" s="180">
        <v>3.8481540679931641</v>
      </c>
      <c r="AA72" s="158">
        <v>49.985965728759766</v>
      </c>
      <c r="AB72" s="2">
        <v>65</v>
      </c>
      <c r="AC72" s="2">
        <v>0</v>
      </c>
      <c r="AD72" s="34">
        <v>45785</v>
      </c>
      <c r="AF72" s="12">
        <v>0.06</v>
      </c>
      <c r="AG72" s="12">
        <v>0.66</v>
      </c>
      <c r="AH72" s="144">
        <v>2.5000000000000001E-2</v>
      </c>
    </row>
    <row r="73" spans="1:34" x14ac:dyDescent="0.3">
      <c r="A73" s="105">
        <v>48</v>
      </c>
      <c r="B73" s="2" t="s">
        <v>417</v>
      </c>
      <c r="C73" s="16">
        <v>17.88</v>
      </c>
      <c r="D73" s="177">
        <v>2.6845638751983643</v>
      </c>
      <c r="E73" s="308">
        <v>3.020134449005127</v>
      </c>
      <c r="F73" s="178">
        <v>3.299776554107666</v>
      </c>
      <c r="G73" s="159">
        <v>57.773876190185547</v>
      </c>
      <c r="H73" s="2">
        <v>54</v>
      </c>
      <c r="I73" s="2">
        <v>0</v>
      </c>
      <c r="J73" s="58">
        <v>45711</v>
      </c>
      <c r="K73" s="105">
        <v>48</v>
      </c>
      <c r="L73" s="2" t="s">
        <v>401</v>
      </c>
      <c r="M73" s="171">
        <v>19.04</v>
      </c>
      <c r="N73" s="177">
        <v>2.5210082530975342</v>
      </c>
      <c r="O73" s="178">
        <v>3.2563023567199707</v>
      </c>
      <c r="P73" s="310">
        <v>3.5189073085784912</v>
      </c>
      <c r="Q73" s="157">
        <v>51.918533325195313</v>
      </c>
      <c r="R73" s="2">
        <v>62</v>
      </c>
      <c r="S73" s="2">
        <v>0</v>
      </c>
      <c r="T73" s="34">
        <v>45804</v>
      </c>
      <c r="U73" s="105">
        <v>48</v>
      </c>
      <c r="V73" s="2" t="s">
        <v>454</v>
      </c>
      <c r="W73" s="171">
        <v>19.440000000000001</v>
      </c>
      <c r="X73" s="179">
        <v>2.4691357612609863</v>
      </c>
      <c r="Y73" s="308">
        <v>3.0864195823669434</v>
      </c>
      <c r="Z73" s="178">
        <v>3.4979422092437744</v>
      </c>
      <c r="AA73" s="157">
        <v>50.115562438964844</v>
      </c>
      <c r="AB73" s="2">
        <v>60</v>
      </c>
      <c r="AC73" s="2">
        <v>0</v>
      </c>
      <c r="AD73" s="34">
        <v>45805</v>
      </c>
      <c r="AF73" s="12">
        <v>0.16</v>
      </c>
      <c r="AG73" s="12">
        <v>2.0799999999999996</v>
      </c>
      <c r="AH73" s="144">
        <v>6.5000000000000002E-2</v>
      </c>
    </row>
    <row r="74" spans="1:34" x14ac:dyDescent="0.3">
      <c r="A74" s="105">
        <v>49</v>
      </c>
      <c r="B74" s="2" t="s">
        <v>406</v>
      </c>
      <c r="C74" s="16">
        <v>17.489999999999998</v>
      </c>
      <c r="D74" s="176">
        <v>2.8016009330749512</v>
      </c>
      <c r="E74" s="178">
        <v>3.3733563423156738</v>
      </c>
      <c r="F74" s="310">
        <v>3.71640944480896</v>
      </c>
      <c r="G74" s="159">
        <v>61.230587005615234</v>
      </c>
      <c r="H74" s="2">
        <v>59</v>
      </c>
      <c r="I74" s="2">
        <v>0</v>
      </c>
      <c r="J74" s="58">
        <v>45761</v>
      </c>
      <c r="K74" s="105">
        <v>49</v>
      </c>
      <c r="L74" s="2" t="s">
        <v>422</v>
      </c>
      <c r="M74" s="82">
        <v>18.2</v>
      </c>
      <c r="N74" s="177">
        <v>2.6923074722290039</v>
      </c>
      <c r="O74" s="308">
        <v>3.2417581081390381</v>
      </c>
      <c r="P74" s="310">
        <v>3.5714285373687744</v>
      </c>
      <c r="Q74" s="159">
        <v>57.225513458251953</v>
      </c>
      <c r="R74" s="2">
        <v>59</v>
      </c>
      <c r="S74" s="2">
        <v>0</v>
      </c>
      <c r="T74" s="34">
        <v>45764</v>
      </c>
      <c r="U74" s="105">
        <v>49</v>
      </c>
      <c r="V74" s="2" t="s">
        <v>427</v>
      </c>
      <c r="W74" s="82">
        <v>18.579999999999998</v>
      </c>
      <c r="X74" s="177">
        <v>2.6372444629669189</v>
      </c>
      <c r="Y74" s="178">
        <v>3.4445641040802002</v>
      </c>
      <c r="Z74" s="310">
        <v>3.7136707305908203</v>
      </c>
      <c r="AA74" s="157">
        <v>55.250141143798828</v>
      </c>
      <c r="AB74" s="2">
        <v>64</v>
      </c>
      <c r="AC74" s="2">
        <v>0</v>
      </c>
      <c r="AD74" s="34">
        <v>45780</v>
      </c>
      <c r="AF74" s="12">
        <v>0.11</v>
      </c>
      <c r="AG74" s="12">
        <v>1.59</v>
      </c>
      <c r="AH74" s="144">
        <v>4.1000000000000002E-2</v>
      </c>
    </row>
    <row r="75" spans="1:34" x14ac:dyDescent="0.3">
      <c r="A75" s="105">
        <v>50</v>
      </c>
      <c r="B75" s="2" t="s">
        <v>423</v>
      </c>
      <c r="C75" s="82">
        <v>18.2</v>
      </c>
      <c r="D75" s="177">
        <v>2.7472527027130127</v>
      </c>
      <c r="E75" s="308">
        <v>3.1868131160736084</v>
      </c>
      <c r="F75" s="178">
        <v>3.3516480922698975</v>
      </c>
      <c r="G75" s="159">
        <v>58.393383026123047</v>
      </c>
      <c r="H75" s="2">
        <v>58</v>
      </c>
      <c r="I75" s="2">
        <v>0</v>
      </c>
      <c r="J75" s="58">
        <v>45763</v>
      </c>
      <c r="K75" s="105">
        <v>50</v>
      </c>
      <c r="L75" s="2" t="s">
        <v>406</v>
      </c>
      <c r="M75" s="84">
        <v>20.3</v>
      </c>
      <c r="N75" s="179">
        <v>2.4630541801452637</v>
      </c>
      <c r="O75" s="308">
        <v>3.1527094841003418</v>
      </c>
      <c r="P75" s="178">
        <v>3.4975371360778809</v>
      </c>
      <c r="Q75" s="158">
        <v>48.500003814697266</v>
      </c>
      <c r="R75" s="2">
        <v>64</v>
      </c>
      <c r="S75" s="2">
        <v>0</v>
      </c>
      <c r="T75" s="34">
        <v>45761</v>
      </c>
      <c r="U75" s="105">
        <v>50</v>
      </c>
      <c r="V75" s="2" t="s">
        <v>508</v>
      </c>
      <c r="W75" s="84">
        <v>20.72</v>
      </c>
      <c r="X75" s="179">
        <v>2.4131274223327637</v>
      </c>
      <c r="Y75" s="178">
        <v>3.3301160335540771</v>
      </c>
      <c r="Z75" s="310">
        <v>3.6196911334991455</v>
      </c>
      <c r="AA75" s="158">
        <v>46.840599060058594</v>
      </c>
      <c r="AB75" s="2">
        <v>69</v>
      </c>
      <c r="AC75" s="2">
        <v>0</v>
      </c>
      <c r="AD75" s="34">
        <v>45806</v>
      </c>
      <c r="AF75" s="12">
        <v>0.28000000000000003</v>
      </c>
      <c r="AG75" s="12">
        <v>4.68</v>
      </c>
      <c r="AH75" s="144">
        <v>0.115</v>
      </c>
    </row>
    <row r="76" spans="1:34" x14ac:dyDescent="0.3">
      <c r="A76" s="105">
        <v>51</v>
      </c>
      <c r="B76" s="2" t="s">
        <v>410</v>
      </c>
      <c r="C76" s="171">
        <v>19.350000000000001</v>
      </c>
      <c r="D76" s="177">
        <v>2.6356589794158936</v>
      </c>
      <c r="E76" s="178">
        <v>3.3074934482574463</v>
      </c>
      <c r="F76" s="310">
        <v>3.6175708770751953</v>
      </c>
      <c r="G76" s="157">
        <v>53.669498443603516</v>
      </c>
      <c r="H76" s="2">
        <v>64</v>
      </c>
      <c r="I76" s="2">
        <v>0</v>
      </c>
      <c r="J76" s="58">
        <v>45764</v>
      </c>
      <c r="K76" s="105">
        <v>51</v>
      </c>
      <c r="L76" s="2" t="s">
        <v>509</v>
      </c>
      <c r="M76" s="84">
        <v>20.48</v>
      </c>
      <c r="N76" s="179">
        <v>2.490234375</v>
      </c>
      <c r="O76" s="178">
        <v>3.369140625</v>
      </c>
      <c r="P76" s="180">
        <v>3.759765625</v>
      </c>
      <c r="Q76" s="158">
        <v>48.733127593994141</v>
      </c>
      <c r="R76" s="2">
        <v>69</v>
      </c>
      <c r="S76" s="2">
        <v>0</v>
      </c>
      <c r="T76" s="34">
        <v>45674</v>
      </c>
      <c r="U76" s="105">
        <v>51</v>
      </c>
      <c r="V76" s="2" t="s">
        <v>426</v>
      </c>
      <c r="W76" s="86">
        <v>22.6</v>
      </c>
      <c r="X76" s="179">
        <v>2.2566370964050293</v>
      </c>
      <c r="Y76" s="178">
        <v>3.4070796966552734</v>
      </c>
      <c r="Z76" s="310">
        <v>3.6283185482025146</v>
      </c>
      <c r="AA76" s="158">
        <v>41.219322204589844</v>
      </c>
      <c r="AB76" s="2">
        <v>77</v>
      </c>
      <c r="AC76" s="2">
        <v>0</v>
      </c>
      <c r="AD76" s="34">
        <v>45800</v>
      </c>
      <c r="AF76" s="12">
        <v>0.15</v>
      </c>
      <c r="AG76" s="12">
        <v>2.68</v>
      </c>
      <c r="AH76" s="144">
        <v>5.8000000000000003E-2</v>
      </c>
    </row>
    <row r="77" spans="1:34" x14ac:dyDescent="0.3">
      <c r="A77" s="105">
        <v>52</v>
      </c>
      <c r="B77" s="2" t="s">
        <v>420</v>
      </c>
      <c r="C77" s="82">
        <v>18.100000000000001</v>
      </c>
      <c r="D77" s="176">
        <v>2.8729281425476074</v>
      </c>
      <c r="E77" s="178">
        <v>3.3701655864715576</v>
      </c>
      <c r="F77" s="310">
        <v>3.6464087963104248</v>
      </c>
      <c r="G77" s="159">
        <v>61.300605773925781</v>
      </c>
      <c r="H77" s="2">
        <v>61</v>
      </c>
      <c r="I77" s="2">
        <v>0</v>
      </c>
      <c r="J77" s="58">
        <v>45805</v>
      </c>
      <c r="K77" s="105">
        <v>52</v>
      </c>
      <c r="L77" s="2" t="s">
        <v>495</v>
      </c>
      <c r="M77" s="84">
        <v>20.04</v>
      </c>
      <c r="N77" s="177">
        <v>2.5948102474212646</v>
      </c>
      <c r="O77" s="310">
        <v>3.5928142070770264</v>
      </c>
      <c r="P77" s="180">
        <v>3.7924149036407471</v>
      </c>
      <c r="Q77" s="157">
        <v>51.557540893554688</v>
      </c>
      <c r="R77" s="2">
        <v>72</v>
      </c>
      <c r="S77" s="2">
        <v>0</v>
      </c>
      <c r="T77" s="34">
        <v>45807</v>
      </c>
      <c r="U77" s="105">
        <v>52</v>
      </c>
      <c r="V77" s="2" t="s">
        <v>488</v>
      </c>
      <c r="W77" s="85">
        <v>21.92</v>
      </c>
      <c r="X77" s="179">
        <v>2.372262716293335</v>
      </c>
      <c r="Y77" s="308">
        <v>3.1021897792816162</v>
      </c>
      <c r="Z77" s="178">
        <v>3.4671533107757568</v>
      </c>
      <c r="AA77" s="158">
        <v>44.267951965332031</v>
      </c>
      <c r="AB77" s="2">
        <v>68</v>
      </c>
      <c r="AC77" s="2">
        <v>0</v>
      </c>
      <c r="AD77" s="34">
        <v>45763</v>
      </c>
      <c r="AF77" s="12">
        <v>0.28000000000000003</v>
      </c>
      <c r="AG77" s="12">
        <v>5.67</v>
      </c>
      <c r="AH77" s="144">
        <v>0.107</v>
      </c>
    </row>
    <row r="78" spans="1:34" x14ac:dyDescent="0.3">
      <c r="A78" s="105">
        <v>53</v>
      </c>
      <c r="B78" s="2" t="s">
        <v>409</v>
      </c>
      <c r="C78" s="16">
        <v>17.190000000000001</v>
      </c>
      <c r="D78" s="308">
        <v>3.0831878185272217</v>
      </c>
      <c r="E78" s="178">
        <v>3.3158812522888184</v>
      </c>
      <c r="F78" s="310">
        <v>3.548574686050415</v>
      </c>
      <c r="G78" s="166">
        <v>68.205894470214844</v>
      </c>
      <c r="H78" s="2">
        <v>57</v>
      </c>
      <c r="I78" s="2">
        <v>0</v>
      </c>
      <c r="J78" s="58">
        <v>45805</v>
      </c>
      <c r="K78" s="105">
        <v>53</v>
      </c>
      <c r="L78" s="2" t="s">
        <v>495</v>
      </c>
      <c r="M78" s="85">
        <v>21.59</v>
      </c>
      <c r="N78" s="179">
        <v>2.4548401832580566</v>
      </c>
      <c r="O78" s="178">
        <v>3.381195068359375</v>
      </c>
      <c r="P78" s="310">
        <v>3.7054190635681152</v>
      </c>
      <c r="Q78" s="158">
        <v>46.297908782958984</v>
      </c>
      <c r="R78" s="2">
        <v>73</v>
      </c>
      <c r="S78" s="2">
        <v>0</v>
      </c>
      <c r="T78" s="34">
        <v>45722</v>
      </c>
      <c r="U78" s="105">
        <v>53</v>
      </c>
      <c r="V78" s="2" t="s">
        <v>476</v>
      </c>
      <c r="W78" s="86">
        <v>22.08</v>
      </c>
      <c r="X78" s="179">
        <v>2.4003622531890869</v>
      </c>
      <c r="Y78" s="308">
        <v>3.2155797481536865</v>
      </c>
      <c r="Z78" s="310">
        <v>3.7137682437896729</v>
      </c>
      <c r="AA78" s="158">
        <v>44.564849853515625</v>
      </c>
      <c r="AB78" s="2">
        <v>71</v>
      </c>
      <c r="AC78" s="2">
        <v>0</v>
      </c>
      <c r="AD78" s="34">
        <v>45800</v>
      </c>
      <c r="AF78" s="12">
        <v>0.63</v>
      </c>
      <c r="AG78" s="12">
        <v>14.059999999999999</v>
      </c>
      <c r="AH78" s="144">
        <v>0.25600000000000001</v>
      </c>
    </row>
    <row r="79" spans="1:34" x14ac:dyDescent="0.3">
      <c r="A79" s="105">
        <v>54</v>
      </c>
      <c r="B79" s="2" t="s">
        <v>423</v>
      </c>
      <c r="C79" s="84">
        <v>20.059999999999999</v>
      </c>
      <c r="D79" s="177">
        <v>2.6919243335723877</v>
      </c>
      <c r="E79" s="178">
        <v>3.2901296615600586</v>
      </c>
      <c r="F79" s="178">
        <v>3.4895315170288086</v>
      </c>
      <c r="G79" s="157">
        <v>53.449813842773438</v>
      </c>
      <c r="H79" s="2">
        <v>66</v>
      </c>
      <c r="I79" s="2">
        <v>0</v>
      </c>
      <c r="J79" s="58">
        <v>45675</v>
      </c>
      <c r="K79" s="105">
        <v>54</v>
      </c>
      <c r="L79" s="2" t="s">
        <v>822</v>
      </c>
      <c r="M79" s="84">
        <v>20.27</v>
      </c>
      <c r="N79" s="177">
        <v>2.6640355587005615</v>
      </c>
      <c r="O79" s="178">
        <v>3.3547112941741943</v>
      </c>
      <c r="P79" s="310">
        <v>3.7493832111358643</v>
      </c>
      <c r="Q79" s="157">
        <v>52.511859893798828</v>
      </c>
      <c r="R79" s="2">
        <v>68</v>
      </c>
      <c r="S79" s="2">
        <v>0</v>
      </c>
      <c r="T79" s="34">
        <v>45810</v>
      </c>
      <c r="U79" s="105">
        <v>54</v>
      </c>
      <c r="V79" s="2" t="s">
        <v>510</v>
      </c>
      <c r="W79" s="84">
        <v>20.69</v>
      </c>
      <c r="X79" s="177">
        <v>2.6099565029144287</v>
      </c>
      <c r="Y79" s="308">
        <v>3.1416141986846924</v>
      </c>
      <c r="Z79" s="178">
        <v>3.4316093921661377</v>
      </c>
      <c r="AA79" s="157">
        <v>50.712604522705078</v>
      </c>
      <c r="AB79" s="2">
        <v>65</v>
      </c>
      <c r="AC79" s="2">
        <v>0</v>
      </c>
      <c r="AD79" s="34">
        <v>45767</v>
      </c>
      <c r="AF79" s="12">
        <v>0.03</v>
      </c>
      <c r="AG79" s="12">
        <v>0.68</v>
      </c>
      <c r="AH79" s="144">
        <v>0.01</v>
      </c>
    </row>
    <row r="80" spans="1:34" x14ac:dyDescent="0.3">
      <c r="A80" s="105">
        <v>55</v>
      </c>
      <c r="B80" s="2" t="s">
        <v>425</v>
      </c>
      <c r="C80" s="82">
        <v>18.420000000000002</v>
      </c>
      <c r="D80" s="176">
        <v>2.9858849048614502</v>
      </c>
      <c r="E80" s="178">
        <v>3.3116178512573242</v>
      </c>
      <c r="F80" s="178">
        <v>3.3659067153930664</v>
      </c>
      <c r="G80" s="166">
        <v>62.933998107910156</v>
      </c>
      <c r="H80" s="2">
        <v>61</v>
      </c>
      <c r="I80" s="2">
        <v>0</v>
      </c>
      <c r="J80" s="58">
        <v>45755</v>
      </c>
      <c r="K80" s="105">
        <v>55</v>
      </c>
      <c r="L80" s="2" t="s">
        <v>406</v>
      </c>
      <c r="M80" s="171">
        <v>19.89</v>
      </c>
      <c r="N80" s="176">
        <v>2.7652087211608887</v>
      </c>
      <c r="O80" s="178">
        <v>3.2679738998413086</v>
      </c>
      <c r="P80" s="180">
        <v>3.7707390785217285</v>
      </c>
      <c r="Q80" s="157">
        <v>55.232994079589844</v>
      </c>
      <c r="R80" s="2">
        <v>65</v>
      </c>
      <c r="S80" s="2">
        <v>0</v>
      </c>
      <c r="T80" s="34">
        <v>45800</v>
      </c>
      <c r="U80" s="105">
        <v>55</v>
      </c>
      <c r="V80" s="2" t="s">
        <v>427</v>
      </c>
      <c r="W80" s="84">
        <v>20.63</v>
      </c>
      <c r="X80" s="177">
        <v>2.666020393371582</v>
      </c>
      <c r="Y80" s="178">
        <v>3.3446438312530518</v>
      </c>
      <c r="Z80" s="310">
        <v>3.7324285507202148</v>
      </c>
      <c r="AA80" s="157">
        <v>51.907371520996094</v>
      </c>
      <c r="AB80" s="2">
        <v>69</v>
      </c>
      <c r="AC80" s="2">
        <v>0</v>
      </c>
      <c r="AD80" s="34">
        <v>45800</v>
      </c>
      <c r="AF80" s="12">
        <v>0.22</v>
      </c>
      <c r="AG80" s="12">
        <v>5.7600000000000007</v>
      </c>
      <c r="AH80" s="144">
        <v>0.08</v>
      </c>
    </row>
    <row r="81" spans="1:34" x14ac:dyDescent="0.3">
      <c r="A81" s="105">
        <v>56</v>
      </c>
      <c r="B81" s="2" t="s">
        <v>415</v>
      </c>
      <c r="C81" s="16">
        <v>17.850000000000001</v>
      </c>
      <c r="D81" s="308">
        <v>3.1372549533843994</v>
      </c>
      <c r="E81" s="310">
        <v>3.5854341983795166</v>
      </c>
      <c r="F81" s="180">
        <v>3.8655462265014648</v>
      </c>
      <c r="G81" s="166">
        <v>67.595535278320313</v>
      </c>
      <c r="H81" s="2">
        <v>64</v>
      </c>
      <c r="I81" s="2">
        <v>0</v>
      </c>
      <c r="J81" s="58">
        <v>45809</v>
      </c>
      <c r="K81" s="105">
        <v>56</v>
      </c>
      <c r="L81" s="2" t="s">
        <v>406</v>
      </c>
      <c r="M81" s="171">
        <v>19.3</v>
      </c>
      <c r="N81" s="176">
        <v>2.9015545845031738</v>
      </c>
      <c r="O81" s="178">
        <v>3.4196891784667969</v>
      </c>
      <c r="P81" s="310">
        <v>3.5751297473907471</v>
      </c>
      <c r="Q81" s="159">
        <v>59.190998077392578</v>
      </c>
      <c r="R81" s="2">
        <v>66</v>
      </c>
      <c r="S81" s="2">
        <v>0</v>
      </c>
      <c r="T81" s="34">
        <v>45805</v>
      </c>
      <c r="U81" s="105">
        <v>56</v>
      </c>
      <c r="V81" s="2" t="s">
        <v>427</v>
      </c>
      <c r="W81" s="85">
        <v>21.2</v>
      </c>
      <c r="X81" s="177">
        <v>2.6415092945098877</v>
      </c>
      <c r="Y81" s="178">
        <v>3.3018865585327148</v>
      </c>
      <c r="Z81" s="310">
        <v>3.5849056243896484</v>
      </c>
      <c r="AA81" s="157">
        <v>50.458232879638672</v>
      </c>
      <c r="AB81" s="2">
        <v>70</v>
      </c>
      <c r="AC81" s="2">
        <v>0</v>
      </c>
      <c r="AD81" s="34">
        <v>45810</v>
      </c>
      <c r="AF81" s="12">
        <v>0.24</v>
      </c>
      <c r="AG81" s="12">
        <v>6.56</v>
      </c>
      <c r="AH81" s="144">
        <v>8.1000000000000003E-2</v>
      </c>
    </row>
    <row r="82" spans="1:34" x14ac:dyDescent="0.3">
      <c r="A82" s="105">
        <v>57</v>
      </c>
      <c r="B82" s="2" t="s">
        <v>422</v>
      </c>
      <c r="C82" s="171">
        <v>19.850000000000001</v>
      </c>
      <c r="D82" s="176">
        <v>2.8715364933013916</v>
      </c>
      <c r="E82" s="308">
        <v>3.1738035678863525</v>
      </c>
      <c r="F82" s="178">
        <v>3.4760704040527344</v>
      </c>
      <c r="G82" s="159">
        <v>57.437694549560547</v>
      </c>
      <c r="H82" s="2">
        <v>63</v>
      </c>
      <c r="I82" s="2">
        <v>0</v>
      </c>
      <c r="J82" s="58">
        <v>45763</v>
      </c>
      <c r="K82" s="105">
        <v>57</v>
      </c>
      <c r="L82" s="2" t="s">
        <v>506</v>
      </c>
      <c r="M82" s="84">
        <v>20.09</v>
      </c>
      <c r="N82" s="176">
        <v>2.8372323513031006</v>
      </c>
      <c r="O82" s="310">
        <v>3.6834244728088379</v>
      </c>
      <c r="P82" s="309">
        <v>4.0318565368652344</v>
      </c>
      <c r="Q82" s="159">
        <v>56.276096343994141</v>
      </c>
      <c r="R82" s="2">
        <v>74</v>
      </c>
      <c r="S82" s="2">
        <v>0</v>
      </c>
      <c r="T82" s="34">
        <v>45767</v>
      </c>
      <c r="U82" s="105">
        <v>57</v>
      </c>
      <c r="V82" s="2" t="s">
        <v>511</v>
      </c>
      <c r="W82" s="85">
        <v>21.13</v>
      </c>
      <c r="X82" s="177">
        <v>2.6975865364074707</v>
      </c>
      <c r="Y82" s="308">
        <v>3.0761950016021729</v>
      </c>
      <c r="Z82" s="178">
        <v>3.2654993534088135</v>
      </c>
      <c r="AA82" s="157">
        <v>51.648860931396484</v>
      </c>
      <c r="AB82" s="2">
        <v>65</v>
      </c>
      <c r="AC82" s="2">
        <v>0</v>
      </c>
      <c r="AD82" s="34">
        <v>45674</v>
      </c>
      <c r="AF82" s="12">
        <v>0.03</v>
      </c>
      <c r="AG82" s="12">
        <v>1.01</v>
      </c>
      <c r="AH82" s="144">
        <v>1.2E-2</v>
      </c>
    </row>
    <row r="83" spans="1:34" x14ac:dyDescent="0.3">
      <c r="A83" s="105">
        <v>58</v>
      </c>
      <c r="B83" s="2" t="s">
        <v>444</v>
      </c>
      <c r="C83" s="171">
        <v>19.34</v>
      </c>
      <c r="D83" s="176">
        <v>2.9989657402038574</v>
      </c>
      <c r="E83" s="178">
        <v>3.464322566986084</v>
      </c>
      <c r="F83" s="310">
        <v>3.6194415092468262</v>
      </c>
      <c r="G83" s="159">
        <v>61.089561462402344</v>
      </c>
      <c r="H83" s="2">
        <v>67</v>
      </c>
      <c r="I83" s="2">
        <v>0</v>
      </c>
      <c r="J83" s="58">
        <v>45805</v>
      </c>
      <c r="K83" s="105">
        <v>58</v>
      </c>
      <c r="L83" s="2" t="s">
        <v>481</v>
      </c>
      <c r="M83" s="85">
        <v>21.24</v>
      </c>
      <c r="N83" s="177">
        <v>2.7306969165802002</v>
      </c>
      <c r="O83" s="310">
        <v>3.5310735702514648</v>
      </c>
      <c r="P83" s="180">
        <v>3.9077212810516357</v>
      </c>
      <c r="Q83" s="157">
        <v>52.093116760253906</v>
      </c>
      <c r="R83" s="2">
        <v>75</v>
      </c>
      <c r="S83" s="2">
        <v>0</v>
      </c>
      <c r="T83" s="34">
        <v>45764</v>
      </c>
      <c r="U83" s="105">
        <v>58</v>
      </c>
      <c r="V83" s="2" t="s">
        <v>476</v>
      </c>
      <c r="W83" s="85">
        <v>21.44</v>
      </c>
      <c r="X83" s="177">
        <v>2.7052237987518311</v>
      </c>
      <c r="Y83" s="310">
        <v>3.6380596160888672</v>
      </c>
      <c r="Z83" s="309">
        <v>4.0111937522888184</v>
      </c>
      <c r="AA83" s="157">
        <v>51.269710540771484</v>
      </c>
      <c r="AB83" s="2">
        <v>78</v>
      </c>
      <c r="AC83" s="2">
        <v>0</v>
      </c>
      <c r="AD83" s="34">
        <v>45767</v>
      </c>
      <c r="AF83" s="12">
        <v>0.27</v>
      </c>
      <c r="AG83" s="12">
        <v>8.26</v>
      </c>
      <c r="AH83" s="144">
        <v>9.8000000000000004E-2</v>
      </c>
    </row>
    <row r="84" spans="1:34" x14ac:dyDescent="0.3">
      <c r="A84" s="105">
        <v>59</v>
      </c>
      <c r="B84" s="2" t="s">
        <v>483</v>
      </c>
      <c r="C84" s="84">
        <v>20.84</v>
      </c>
      <c r="D84" s="176">
        <v>2.8310940265655518</v>
      </c>
      <c r="E84" s="308">
        <v>3.2149713039398193</v>
      </c>
      <c r="F84" s="310">
        <v>3.5988483428955078</v>
      </c>
      <c r="G84" s="157">
        <v>54.731945037841797</v>
      </c>
      <c r="H84" s="2">
        <v>67</v>
      </c>
      <c r="I84" s="2">
        <v>0</v>
      </c>
      <c r="J84" s="58">
        <v>45763</v>
      </c>
      <c r="K84" s="105">
        <v>59</v>
      </c>
      <c r="L84" s="2" t="s">
        <v>506</v>
      </c>
      <c r="M84" s="85">
        <v>21.28</v>
      </c>
      <c r="N84" s="176">
        <v>2.7725563049316406</v>
      </c>
      <c r="O84" s="178">
        <v>3.3364660739898682</v>
      </c>
      <c r="P84" s="310">
        <v>3.5714285373687744</v>
      </c>
      <c r="Q84" s="157">
        <v>52.822048187255859</v>
      </c>
      <c r="R84" s="2">
        <v>71</v>
      </c>
      <c r="S84" s="2">
        <v>0</v>
      </c>
      <c r="T84" s="34">
        <v>45793</v>
      </c>
      <c r="U84" s="105">
        <v>59</v>
      </c>
      <c r="V84" s="2" t="s">
        <v>426</v>
      </c>
      <c r="W84" s="85">
        <v>21.46</v>
      </c>
      <c r="X84" s="177">
        <v>2.7493011951446533</v>
      </c>
      <c r="Y84" s="180">
        <v>3.8210625648498535</v>
      </c>
      <c r="Z84" s="182">
        <v>4.3336443901062012</v>
      </c>
      <c r="AA84" s="157">
        <v>52.071071624755859</v>
      </c>
      <c r="AB84" s="2">
        <v>82</v>
      </c>
      <c r="AC84" s="2">
        <v>0</v>
      </c>
      <c r="AD84" s="34">
        <v>45793</v>
      </c>
      <c r="AF84" s="12">
        <v>0.06</v>
      </c>
      <c r="AG84" s="12">
        <v>1.8699999999999999</v>
      </c>
      <c r="AH84" s="144">
        <v>2.1000000000000001E-2</v>
      </c>
    </row>
    <row r="85" spans="1:34" x14ac:dyDescent="0.3">
      <c r="A85" s="105">
        <v>60</v>
      </c>
      <c r="B85" s="2" t="s">
        <v>830</v>
      </c>
      <c r="C85" s="82">
        <v>18.440000000000001</v>
      </c>
      <c r="D85" s="178">
        <v>3.2537961006164551</v>
      </c>
      <c r="E85" s="180">
        <v>3.850325345993042</v>
      </c>
      <c r="F85" s="309">
        <v>4.2299346923828125</v>
      </c>
      <c r="G85" s="166">
        <v>68.528732299804688</v>
      </c>
      <c r="H85" s="2">
        <v>71</v>
      </c>
      <c r="I85" s="2">
        <v>0</v>
      </c>
      <c r="J85" s="58">
        <v>45810</v>
      </c>
      <c r="K85" s="105">
        <v>60</v>
      </c>
      <c r="L85" s="2" t="s">
        <v>438</v>
      </c>
      <c r="M85" s="171">
        <v>19.920000000000002</v>
      </c>
      <c r="N85" s="308">
        <v>3.0120482444763184</v>
      </c>
      <c r="O85" s="310">
        <v>3.5642569065093994</v>
      </c>
      <c r="P85" s="310">
        <v>3.7148594856262207</v>
      </c>
      <c r="Q85" s="159">
        <v>60.099987030029297</v>
      </c>
      <c r="R85" s="2">
        <v>71</v>
      </c>
      <c r="S85" s="2">
        <v>0</v>
      </c>
      <c r="T85" s="34">
        <v>45767</v>
      </c>
      <c r="U85" s="105">
        <v>60</v>
      </c>
      <c r="V85" s="2" t="s">
        <v>502</v>
      </c>
      <c r="W85" s="84">
        <v>20.47</v>
      </c>
      <c r="X85" s="176">
        <v>2.9311187267303467</v>
      </c>
      <c r="Y85" s="310">
        <v>3.7127504348754883</v>
      </c>
      <c r="Z85" s="180">
        <v>3.9081583023071289</v>
      </c>
      <c r="AA85" s="159">
        <v>57.380714416503906</v>
      </c>
      <c r="AB85" s="2">
        <v>76</v>
      </c>
      <c r="AC85" s="2">
        <v>0</v>
      </c>
      <c r="AD85" s="34">
        <v>45763</v>
      </c>
      <c r="AF85" s="12">
        <v>0.24</v>
      </c>
      <c r="AG85" s="12">
        <v>7.96</v>
      </c>
      <c r="AH85" s="144">
        <v>0.08</v>
      </c>
    </row>
    <row r="86" spans="1:34" x14ac:dyDescent="0.3">
      <c r="A86" s="105">
        <v>61</v>
      </c>
      <c r="B86" s="2" t="s">
        <v>415</v>
      </c>
      <c r="C86" s="171">
        <v>19.22</v>
      </c>
      <c r="D86" s="308">
        <v>3.1737773418426514</v>
      </c>
      <c r="E86" s="180">
        <v>3.9021854400634766</v>
      </c>
      <c r="F86" s="309">
        <v>4.1623311042785645</v>
      </c>
      <c r="G86" s="166">
        <v>64.93280029296875</v>
      </c>
      <c r="H86" s="2">
        <v>75</v>
      </c>
      <c r="I86" s="2">
        <v>0</v>
      </c>
      <c r="J86" s="58">
        <v>45767</v>
      </c>
      <c r="K86" s="105">
        <v>61</v>
      </c>
      <c r="L86" s="2" t="s">
        <v>510</v>
      </c>
      <c r="M86" s="85">
        <v>21.56</v>
      </c>
      <c r="N86" s="176">
        <v>2.8293135166168213</v>
      </c>
      <c r="O86" s="178">
        <v>3.3395175933837891</v>
      </c>
      <c r="P86" s="310">
        <v>3.5250465869903564</v>
      </c>
      <c r="Q86" s="157">
        <v>53.412387847900391</v>
      </c>
      <c r="R86" s="2">
        <v>72</v>
      </c>
      <c r="S86" s="2">
        <v>0</v>
      </c>
      <c r="T86" s="34">
        <v>45765</v>
      </c>
      <c r="U86" s="105">
        <v>61</v>
      </c>
      <c r="V86" s="2" t="s">
        <v>488</v>
      </c>
      <c r="W86" s="86">
        <v>22.93</v>
      </c>
      <c r="X86" s="177">
        <v>2.6602704524993896</v>
      </c>
      <c r="Y86" s="178">
        <v>3.4452681541442871</v>
      </c>
      <c r="Z86" s="310">
        <v>3.6633231639862061</v>
      </c>
      <c r="AA86" s="158">
        <v>48.101428985595703</v>
      </c>
      <c r="AB86" s="2">
        <v>79</v>
      </c>
      <c r="AC86" s="2">
        <v>0</v>
      </c>
      <c r="AD86" s="34">
        <v>45776</v>
      </c>
      <c r="AF86" s="12">
        <v>0.34</v>
      </c>
      <c r="AG86" s="12">
        <v>11.58</v>
      </c>
      <c r="AH86" s="144">
        <v>0.122</v>
      </c>
    </row>
    <row r="87" spans="1:34" x14ac:dyDescent="0.3">
      <c r="A87" s="105">
        <v>62</v>
      </c>
      <c r="B87" s="2" t="s">
        <v>488</v>
      </c>
      <c r="C87" s="84">
        <v>20.59</v>
      </c>
      <c r="D87" s="308">
        <v>3.0111703872680664</v>
      </c>
      <c r="E87" s="310">
        <v>3.6425449848175049</v>
      </c>
      <c r="F87" s="309">
        <v>4.0796504020690918</v>
      </c>
      <c r="G87" s="159">
        <v>58.707138061523438</v>
      </c>
      <c r="H87" s="2">
        <v>75</v>
      </c>
      <c r="I87" s="2">
        <v>0</v>
      </c>
      <c r="J87" s="58">
        <v>45801</v>
      </c>
      <c r="K87" s="105">
        <v>62</v>
      </c>
      <c r="L87" s="2" t="s">
        <v>504</v>
      </c>
      <c r="M87" s="84">
        <v>20.92</v>
      </c>
      <c r="N87" s="176">
        <v>2.9636712074279785</v>
      </c>
      <c r="O87" s="178">
        <v>3.4416825771331787</v>
      </c>
      <c r="P87" s="310">
        <v>3.5850861072540283</v>
      </c>
      <c r="Q87" s="159">
        <v>57.141525268554688</v>
      </c>
      <c r="R87" s="2">
        <v>72</v>
      </c>
      <c r="S87" s="2">
        <v>0</v>
      </c>
      <c r="T87" s="34">
        <v>45766</v>
      </c>
      <c r="U87" s="105">
        <v>62</v>
      </c>
      <c r="V87" s="2" t="s">
        <v>422</v>
      </c>
      <c r="W87" s="85">
        <v>21.7</v>
      </c>
      <c r="X87" s="176">
        <v>2.8571426868438721</v>
      </c>
      <c r="Y87" s="178">
        <v>3.3179721832275391</v>
      </c>
      <c r="Z87" s="310">
        <v>3.5483870506286621</v>
      </c>
      <c r="AA87" s="157">
        <v>53.693920135498047</v>
      </c>
      <c r="AB87" s="2">
        <v>72</v>
      </c>
      <c r="AC87" s="2">
        <v>0</v>
      </c>
      <c r="AD87" s="34">
        <v>45704</v>
      </c>
      <c r="AF87" s="12">
        <v>0.05</v>
      </c>
      <c r="AG87" s="12">
        <v>1.6199999999999999</v>
      </c>
      <c r="AH87" s="144">
        <v>1.6E-2</v>
      </c>
    </row>
    <row r="88" spans="1:34" x14ac:dyDescent="0.3">
      <c r="A88" s="105">
        <v>63</v>
      </c>
      <c r="B88" s="2" t="s">
        <v>488</v>
      </c>
      <c r="C88" s="85">
        <v>21.64</v>
      </c>
      <c r="D88" s="176">
        <v>2.9112753868103027</v>
      </c>
      <c r="E88" s="310">
        <v>3.6506471633911133</v>
      </c>
      <c r="F88" s="180">
        <v>3.8817007541656494</v>
      </c>
      <c r="G88" s="157">
        <v>54.817378997802734</v>
      </c>
      <c r="H88" s="2">
        <v>79</v>
      </c>
      <c r="I88" s="2">
        <v>0</v>
      </c>
      <c r="J88" s="58">
        <v>45805</v>
      </c>
      <c r="K88" s="105">
        <v>63</v>
      </c>
      <c r="L88" s="2" t="s">
        <v>506</v>
      </c>
      <c r="M88" s="86">
        <v>22.3</v>
      </c>
      <c r="N88" s="176">
        <v>2.8251121044158936</v>
      </c>
      <c r="O88" s="178">
        <v>3.4529149532318115</v>
      </c>
      <c r="P88" s="180">
        <v>3.8116593360900879</v>
      </c>
      <c r="Q88" s="157">
        <v>52.087959289550781</v>
      </c>
      <c r="R88" s="2">
        <v>77</v>
      </c>
      <c r="S88" s="2">
        <v>0</v>
      </c>
      <c r="T88" s="34">
        <v>45780</v>
      </c>
      <c r="U88" s="105">
        <v>63</v>
      </c>
      <c r="V88" s="2" t="s">
        <v>413</v>
      </c>
      <c r="W88" s="86">
        <v>22.5</v>
      </c>
      <c r="X88" s="176">
        <v>2.7999999523162842</v>
      </c>
      <c r="Y88" s="178">
        <v>3.4666666984558105</v>
      </c>
      <c r="Z88" s="180">
        <v>3.8222222328186035</v>
      </c>
      <c r="AA88" s="157">
        <v>51.303298950195313</v>
      </c>
      <c r="AB88" s="2">
        <v>78</v>
      </c>
      <c r="AC88" s="2">
        <v>0</v>
      </c>
      <c r="AD88" s="34">
        <v>45763</v>
      </c>
      <c r="AF88" s="12">
        <v>0.09</v>
      </c>
      <c r="AG88" s="12">
        <v>2.9499999999999997</v>
      </c>
      <c r="AH88" s="144">
        <v>0.03</v>
      </c>
    </row>
    <row r="89" spans="1:34" x14ac:dyDescent="0.3">
      <c r="A89" s="105">
        <v>64</v>
      </c>
      <c r="B89" s="2" t="s">
        <v>512</v>
      </c>
      <c r="C89" s="86">
        <v>22.15</v>
      </c>
      <c r="D89" s="176">
        <v>2.8893904685974121</v>
      </c>
      <c r="E89" s="310">
        <v>3.7020316123962402</v>
      </c>
      <c r="F89" s="309">
        <v>4.1083521842956543</v>
      </c>
      <c r="G89" s="157">
        <v>53.525367736816406</v>
      </c>
      <c r="H89" s="2">
        <v>82</v>
      </c>
      <c r="I89" s="2">
        <v>0</v>
      </c>
      <c r="J89" s="58">
        <v>45800</v>
      </c>
      <c r="K89" s="105">
        <v>64</v>
      </c>
      <c r="L89" s="2" t="s">
        <v>427</v>
      </c>
      <c r="M89" s="86">
        <v>22.34</v>
      </c>
      <c r="N89" s="176">
        <v>2.864816427230835</v>
      </c>
      <c r="O89" s="178">
        <v>3.4914951324462891</v>
      </c>
      <c r="P89" s="180">
        <v>3.9391226768493652</v>
      </c>
      <c r="Q89" s="157">
        <v>52.753780364990234</v>
      </c>
      <c r="R89" s="2">
        <v>78</v>
      </c>
      <c r="S89" s="2">
        <v>0</v>
      </c>
      <c r="T89" s="34">
        <v>45805</v>
      </c>
      <c r="U89" s="105">
        <v>64</v>
      </c>
      <c r="V89" s="2" t="s">
        <v>491</v>
      </c>
      <c r="W89" s="86">
        <v>22.38</v>
      </c>
      <c r="X89" s="176">
        <v>2.8596961498260498</v>
      </c>
      <c r="Y89" s="310">
        <v>3.6639857292175293</v>
      </c>
      <c r="Z89" s="180">
        <v>3.9320824146270752</v>
      </c>
      <c r="AA89" s="157">
        <v>52.593597412109375</v>
      </c>
      <c r="AB89" s="2">
        <v>82</v>
      </c>
      <c r="AC89" s="2">
        <v>0</v>
      </c>
      <c r="AD89" s="34">
        <v>45794</v>
      </c>
      <c r="AF89" s="12">
        <v>0.02</v>
      </c>
      <c r="AG89" s="12">
        <v>0.84000000000000008</v>
      </c>
      <c r="AH89" s="144">
        <v>8.9999999999999993E-3</v>
      </c>
    </row>
    <row r="90" spans="1:34" x14ac:dyDescent="0.3">
      <c r="A90" s="105">
        <v>65</v>
      </c>
      <c r="B90" s="2" t="s">
        <v>415</v>
      </c>
      <c r="C90" s="84">
        <v>20.74</v>
      </c>
      <c r="D90" s="308">
        <v>3.1340405941009521</v>
      </c>
      <c r="E90" s="180">
        <v>3.8572807312011719</v>
      </c>
      <c r="F90" s="309">
        <v>4.1947927474975586</v>
      </c>
      <c r="G90" s="159">
        <v>60.792991638183594</v>
      </c>
      <c r="H90" s="2">
        <v>80</v>
      </c>
      <c r="I90" s="2">
        <v>0</v>
      </c>
      <c r="J90" s="58">
        <v>45763</v>
      </c>
      <c r="K90" s="105">
        <v>65</v>
      </c>
      <c r="L90" s="2" t="s">
        <v>491</v>
      </c>
      <c r="M90" s="84">
        <v>20.88</v>
      </c>
      <c r="N90" s="308">
        <v>3.1130268573760986</v>
      </c>
      <c r="O90" s="310">
        <v>3.7356324195861816</v>
      </c>
      <c r="P90" s="309">
        <v>4.0708813667297363</v>
      </c>
      <c r="Q90" s="159">
        <v>60.101673126220703</v>
      </c>
      <c r="R90" s="2">
        <v>78</v>
      </c>
      <c r="S90" s="2">
        <v>0</v>
      </c>
      <c r="T90" s="34">
        <v>45800</v>
      </c>
      <c r="U90" s="105">
        <v>65</v>
      </c>
      <c r="V90" s="2" t="s">
        <v>442</v>
      </c>
      <c r="W90" s="85">
        <v>21.73</v>
      </c>
      <c r="X90" s="176">
        <v>2.9912564754486084</v>
      </c>
      <c r="Y90" s="310">
        <v>3.5434882640838623</v>
      </c>
      <c r="Z90" s="310">
        <v>3.7275657653808594</v>
      </c>
      <c r="AA90" s="157">
        <v>56.159965515136719</v>
      </c>
      <c r="AB90" s="2">
        <v>77</v>
      </c>
      <c r="AC90" s="2">
        <v>0</v>
      </c>
      <c r="AD90" s="34">
        <v>45755</v>
      </c>
      <c r="AF90" s="12">
        <v>0.02</v>
      </c>
      <c r="AG90" s="12">
        <v>0.71</v>
      </c>
      <c r="AH90" s="144">
        <v>7.0000000000000001E-3</v>
      </c>
    </row>
    <row r="91" spans="1:34" x14ac:dyDescent="0.3">
      <c r="A91" s="105">
        <v>66</v>
      </c>
      <c r="B91" s="2" t="s">
        <v>467</v>
      </c>
      <c r="C91" s="84">
        <v>20.149999999999999</v>
      </c>
      <c r="D91" s="178">
        <v>3.2754342555999756</v>
      </c>
      <c r="E91" s="180">
        <v>3.9702234268188477</v>
      </c>
      <c r="F91" s="309">
        <v>4.2183623313903809</v>
      </c>
      <c r="G91" s="166">
        <v>64.832290649414063</v>
      </c>
      <c r="H91" s="2">
        <v>80</v>
      </c>
      <c r="I91" s="2">
        <v>0</v>
      </c>
      <c r="J91" s="58">
        <v>45800</v>
      </c>
      <c r="K91" s="105">
        <v>66</v>
      </c>
      <c r="L91" s="2" t="s">
        <v>454</v>
      </c>
      <c r="M91" s="86">
        <v>22.74</v>
      </c>
      <c r="N91" s="176">
        <v>2.9023747444152832</v>
      </c>
      <c r="O91" s="178">
        <v>3.3861038684844971</v>
      </c>
      <c r="P91" s="310">
        <v>3.7379066944122314</v>
      </c>
      <c r="Q91" s="157">
        <v>52.785568237304688</v>
      </c>
      <c r="R91" s="2">
        <v>77</v>
      </c>
      <c r="S91" s="2">
        <v>0</v>
      </c>
      <c r="T91" s="34">
        <v>45730</v>
      </c>
      <c r="U91" s="105">
        <v>66</v>
      </c>
      <c r="V91" s="2" t="s">
        <v>427</v>
      </c>
      <c r="W91" s="86">
        <v>22.95</v>
      </c>
      <c r="X91" s="176">
        <v>2.875816822052002</v>
      </c>
      <c r="Y91" s="178">
        <v>3.311546802520752</v>
      </c>
      <c r="Z91" s="310">
        <v>3.7472765445709229</v>
      </c>
      <c r="AA91" s="157">
        <v>51.967082977294922</v>
      </c>
      <c r="AB91" s="2">
        <v>76</v>
      </c>
      <c r="AC91" s="2">
        <v>0</v>
      </c>
      <c r="AD91" s="34">
        <v>45810</v>
      </c>
      <c r="AF91" s="12">
        <v>0.37</v>
      </c>
      <c r="AG91" s="12">
        <v>12.46</v>
      </c>
      <c r="AH91" s="144">
        <v>0.129</v>
      </c>
    </row>
    <row r="92" spans="1:34" x14ac:dyDescent="0.3">
      <c r="A92" s="105">
        <v>67</v>
      </c>
      <c r="B92" s="2" t="s">
        <v>467</v>
      </c>
      <c r="C92" s="84">
        <v>20.81</v>
      </c>
      <c r="D92" s="308">
        <v>3.2196059226989746</v>
      </c>
      <c r="E92" s="180">
        <v>3.8443057537078857</v>
      </c>
      <c r="F92" s="309">
        <v>4.0845746994018555</v>
      </c>
      <c r="G92" s="159">
        <v>62.305633544921875</v>
      </c>
      <c r="H92" s="2">
        <v>80</v>
      </c>
      <c r="I92" s="2">
        <v>0</v>
      </c>
      <c r="J92" s="58">
        <v>45805</v>
      </c>
      <c r="K92" s="105">
        <v>67</v>
      </c>
      <c r="L92" s="2" t="s">
        <v>454</v>
      </c>
      <c r="M92" s="86">
        <v>22.3</v>
      </c>
      <c r="N92" s="308">
        <v>3.0044844150543213</v>
      </c>
      <c r="O92" s="310">
        <v>3.5426011085510254</v>
      </c>
      <c r="P92" s="180">
        <v>3.9013454914093018</v>
      </c>
      <c r="Q92" s="157">
        <v>55.395126342773438</v>
      </c>
      <c r="R92" s="2">
        <v>79</v>
      </c>
      <c r="S92" s="2">
        <v>0</v>
      </c>
      <c r="T92" s="34">
        <v>45805</v>
      </c>
      <c r="U92" s="105">
        <v>67</v>
      </c>
      <c r="V92" s="2" t="s">
        <v>513</v>
      </c>
      <c r="W92" s="86">
        <v>23.06</v>
      </c>
      <c r="X92" s="176">
        <v>2.9054641723632813</v>
      </c>
      <c r="Y92" s="180">
        <v>3.8594970703125</v>
      </c>
      <c r="Z92" s="309">
        <v>4.1196880340576172</v>
      </c>
      <c r="AA92" s="157">
        <v>52.327384948730469</v>
      </c>
      <c r="AB92" s="2">
        <v>89</v>
      </c>
      <c r="AC92" s="2">
        <v>0</v>
      </c>
      <c r="AD92" s="34">
        <v>45793</v>
      </c>
      <c r="AF92" s="12">
        <v>0.22</v>
      </c>
      <c r="AG92" s="12">
        <v>7.0200000000000005</v>
      </c>
      <c r="AH92" s="144">
        <v>7.1999999999999995E-2</v>
      </c>
    </row>
    <row r="93" spans="1:34" x14ac:dyDescent="0.3">
      <c r="A93" s="105">
        <v>68</v>
      </c>
      <c r="B93" s="2" t="s">
        <v>403</v>
      </c>
      <c r="C93" s="86">
        <v>22.07</v>
      </c>
      <c r="D93" s="308">
        <v>3.0811057090759277</v>
      </c>
      <c r="E93" s="180">
        <v>3.7607612609863281</v>
      </c>
      <c r="F93" s="180">
        <v>3.9873130321502686</v>
      </c>
      <c r="G93" s="159">
        <v>57.221595764160156</v>
      </c>
      <c r="H93" s="2">
        <v>83</v>
      </c>
      <c r="I93" s="2">
        <v>0</v>
      </c>
      <c r="J93" s="58">
        <v>45804</v>
      </c>
      <c r="K93" s="105">
        <v>68</v>
      </c>
      <c r="L93" s="2" t="s">
        <v>461</v>
      </c>
      <c r="M93" s="86">
        <v>23.56</v>
      </c>
      <c r="N93" s="176">
        <v>2.8862478733062744</v>
      </c>
      <c r="O93" s="178">
        <v>3.3531410694122314</v>
      </c>
      <c r="P93" s="310">
        <v>3.692699670791626</v>
      </c>
      <c r="Q93" s="157">
        <v>51.206600189208984</v>
      </c>
      <c r="R93" s="2">
        <v>79</v>
      </c>
      <c r="S93" s="2">
        <v>0</v>
      </c>
      <c r="T93" s="34">
        <v>45730</v>
      </c>
      <c r="U93" s="105">
        <v>68</v>
      </c>
      <c r="V93" s="2" t="s">
        <v>506</v>
      </c>
      <c r="W93" s="86">
        <v>23.62</v>
      </c>
      <c r="X93" s="176">
        <v>2.8789160251617432</v>
      </c>
      <c r="Y93" s="310">
        <v>3.7256560325622559</v>
      </c>
      <c r="Z93" s="309">
        <v>4.0643520355224609</v>
      </c>
      <c r="AA93" s="157">
        <v>50.985664367675781</v>
      </c>
      <c r="AB93" s="2">
        <v>88</v>
      </c>
      <c r="AC93" s="2">
        <v>0</v>
      </c>
      <c r="AD93" s="34">
        <v>45801</v>
      </c>
      <c r="AF93" s="12">
        <v>0.19</v>
      </c>
      <c r="AG93" s="12">
        <v>6.18</v>
      </c>
      <c r="AH93" s="144">
        <v>6.8000000000000005E-2</v>
      </c>
    </row>
    <row r="94" spans="1:34" x14ac:dyDescent="0.3">
      <c r="A94" s="105">
        <v>69</v>
      </c>
      <c r="B94" s="2" t="s">
        <v>434</v>
      </c>
      <c r="C94" s="85">
        <v>21.82</v>
      </c>
      <c r="D94" s="308">
        <v>3.1622364521026611</v>
      </c>
      <c r="E94" s="180">
        <v>3.8955087661743164</v>
      </c>
      <c r="F94" s="309">
        <v>4.1704859733581543</v>
      </c>
      <c r="G94" s="159">
        <v>59.19854736328125</v>
      </c>
      <c r="H94" s="2">
        <v>85</v>
      </c>
      <c r="I94" s="2">
        <v>0</v>
      </c>
      <c r="J94" s="58">
        <v>45767</v>
      </c>
      <c r="K94" s="105">
        <v>69</v>
      </c>
      <c r="L94" s="2" t="s">
        <v>406</v>
      </c>
      <c r="M94" s="85">
        <v>21.97</v>
      </c>
      <c r="N94" s="308">
        <v>3.1406464576721191</v>
      </c>
      <c r="O94" s="310">
        <v>3.641329288482666</v>
      </c>
      <c r="P94" s="180">
        <v>3.9144289493560791</v>
      </c>
      <c r="Q94" s="159">
        <v>58.513092041015625</v>
      </c>
      <c r="R94" s="2">
        <v>80</v>
      </c>
      <c r="S94" s="2">
        <v>0</v>
      </c>
      <c r="T94" s="34">
        <v>45800</v>
      </c>
      <c r="U94" s="105">
        <v>69</v>
      </c>
      <c r="V94" s="2" t="s">
        <v>510</v>
      </c>
      <c r="W94" s="86">
        <v>22.84</v>
      </c>
      <c r="X94" s="308">
        <v>3.0210156440734863</v>
      </c>
      <c r="Y94" s="310">
        <v>3.6777582168579102</v>
      </c>
      <c r="Z94" s="180">
        <v>3.9842381477355957</v>
      </c>
      <c r="AA94" s="157">
        <v>54.774791717529297</v>
      </c>
      <c r="AB94" s="2">
        <v>84</v>
      </c>
      <c r="AC94" s="2">
        <v>0</v>
      </c>
      <c r="AD94" s="34">
        <v>45762</v>
      </c>
      <c r="AF94" s="12">
        <v>0.02</v>
      </c>
      <c r="AG94" s="12">
        <v>0.66</v>
      </c>
      <c r="AH94" s="144">
        <v>7.0000000000000001E-3</v>
      </c>
    </row>
    <row r="95" spans="1:34" x14ac:dyDescent="0.3">
      <c r="A95" s="105">
        <v>70</v>
      </c>
      <c r="B95" s="2" t="s">
        <v>467</v>
      </c>
      <c r="C95" s="86">
        <v>22.06</v>
      </c>
      <c r="D95" s="308">
        <v>3.1731641292572021</v>
      </c>
      <c r="E95" s="180">
        <v>3.9437897205352783</v>
      </c>
      <c r="F95" s="309">
        <v>4.1251134872436523</v>
      </c>
      <c r="G95" s="159">
        <v>58.949989318847656</v>
      </c>
      <c r="H95" s="2">
        <v>87</v>
      </c>
      <c r="I95" s="2">
        <v>0</v>
      </c>
      <c r="J95" s="58">
        <v>45804</v>
      </c>
      <c r="K95" s="105">
        <v>70</v>
      </c>
      <c r="L95" s="2" t="s">
        <v>427</v>
      </c>
      <c r="M95" s="87">
        <v>24.91</v>
      </c>
      <c r="N95" s="176">
        <v>2.8101165294647217</v>
      </c>
      <c r="O95" s="178">
        <v>3.3721396923065186</v>
      </c>
      <c r="P95" s="310">
        <v>3.693295955657959</v>
      </c>
      <c r="Q95" s="158">
        <v>47.948799133300781</v>
      </c>
      <c r="R95" s="2">
        <v>84</v>
      </c>
      <c r="S95" s="2">
        <v>0</v>
      </c>
      <c r="T95" s="34">
        <v>45764</v>
      </c>
      <c r="U95" s="105">
        <v>70</v>
      </c>
      <c r="V95" s="2" t="s">
        <v>514</v>
      </c>
      <c r="W95" s="87">
        <v>25.28</v>
      </c>
      <c r="X95" s="176">
        <v>2.7689871788024902</v>
      </c>
      <c r="Y95" s="178">
        <v>3.3623416423797607</v>
      </c>
      <c r="Z95" s="310">
        <v>3.6392405033111572</v>
      </c>
      <c r="AA95" s="158">
        <v>46.761886596679688</v>
      </c>
      <c r="AB95" s="2">
        <v>85</v>
      </c>
      <c r="AC95" s="2">
        <v>0</v>
      </c>
      <c r="AD95" s="34">
        <v>45800</v>
      </c>
      <c r="AF95" s="12">
        <v>0.36</v>
      </c>
      <c r="AG95" s="12">
        <v>10.64</v>
      </c>
      <c r="AH95" s="144">
        <v>0.129</v>
      </c>
    </row>
    <row r="96" spans="1:34" x14ac:dyDescent="0.3">
      <c r="A96" s="105">
        <v>71</v>
      </c>
      <c r="B96" s="2" t="s">
        <v>474</v>
      </c>
      <c r="C96" s="86">
        <v>22.38</v>
      </c>
      <c r="D96" s="308">
        <v>3.1724755764007568</v>
      </c>
      <c r="E96" s="310">
        <v>3.6193029880523682</v>
      </c>
      <c r="F96" s="180">
        <v>3.8873996734619141</v>
      </c>
      <c r="G96" s="159">
        <v>58.346023559570313</v>
      </c>
      <c r="H96" s="2">
        <v>81</v>
      </c>
      <c r="I96" s="2">
        <v>0</v>
      </c>
      <c r="J96" s="58">
        <v>45804</v>
      </c>
      <c r="K96" s="105">
        <v>71</v>
      </c>
      <c r="L96" s="2" t="s">
        <v>476</v>
      </c>
      <c r="M96" s="86">
        <v>22.41</v>
      </c>
      <c r="N96" s="308">
        <v>3.1682283878326416</v>
      </c>
      <c r="O96" s="180">
        <v>3.8821954727172852</v>
      </c>
      <c r="P96" s="309">
        <v>4.1945562362670898</v>
      </c>
      <c r="Q96" s="159">
        <v>58.213298797607422</v>
      </c>
      <c r="R96" s="2">
        <v>87</v>
      </c>
      <c r="S96" s="2">
        <v>0</v>
      </c>
      <c r="T96" s="34">
        <v>45800</v>
      </c>
      <c r="U96" s="105">
        <v>71</v>
      </c>
      <c r="V96" s="2" t="s">
        <v>454</v>
      </c>
      <c r="W96" s="86">
        <v>23.21</v>
      </c>
      <c r="X96" s="308">
        <v>3.0590264797210693</v>
      </c>
      <c r="Y96" s="310">
        <v>3.7052996158599854</v>
      </c>
      <c r="Z96" s="180">
        <v>3.9207239151000977</v>
      </c>
      <c r="AA96" s="157">
        <v>54.843563079833984</v>
      </c>
      <c r="AB96" s="2">
        <v>86</v>
      </c>
      <c r="AC96" s="2">
        <v>0</v>
      </c>
      <c r="AD96" s="34">
        <v>45805</v>
      </c>
      <c r="AF96" s="12">
        <v>0</v>
      </c>
      <c r="AG96" s="12">
        <v>0.12000000000000001</v>
      </c>
      <c r="AH96" s="144">
        <v>1E-3</v>
      </c>
    </row>
    <row r="97" spans="1:34" x14ac:dyDescent="0.3">
      <c r="A97" s="105">
        <v>72</v>
      </c>
      <c r="B97" s="2" t="s">
        <v>406</v>
      </c>
      <c r="C97" s="85">
        <v>21.66</v>
      </c>
      <c r="D97" s="178">
        <v>3.3240997791290283</v>
      </c>
      <c r="E97" s="180">
        <v>3.9704525470733643</v>
      </c>
      <c r="F97" s="309">
        <v>4.2474608421325684</v>
      </c>
      <c r="G97" s="166">
        <v>62.550117492675781</v>
      </c>
      <c r="H97" s="2">
        <v>86</v>
      </c>
      <c r="I97" s="2">
        <v>0</v>
      </c>
      <c r="J97" s="58">
        <v>45716</v>
      </c>
      <c r="K97" s="105">
        <v>72</v>
      </c>
      <c r="L97" s="2" t="s">
        <v>406</v>
      </c>
      <c r="M97" s="87">
        <v>24.68</v>
      </c>
      <c r="N97" s="176">
        <v>2.917341947555542</v>
      </c>
      <c r="O97" s="178">
        <v>3.4846029281616211</v>
      </c>
      <c r="P97" s="310">
        <v>3.7277147769927979</v>
      </c>
      <c r="Q97" s="157">
        <v>50.102653503417969</v>
      </c>
      <c r="R97" s="2">
        <v>86</v>
      </c>
      <c r="S97" s="2">
        <v>0</v>
      </c>
      <c r="T97" s="34">
        <v>45767</v>
      </c>
      <c r="U97" s="105">
        <v>72</v>
      </c>
      <c r="V97" s="2" t="s">
        <v>495</v>
      </c>
      <c r="W97" s="87">
        <v>25.43</v>
      </c>
      <c r="X97" s="176">
        <v>2.8313016891479492</v>
      </c>
      <c r="Y97" s="310">
        <v>3.6177742481231689</v>
      </c>
      <c r="Z97" s="180">
        <v>3.8537161350250244</v>
      </c>
      <c r="AA97" s="158">
        <v>47.616630554199219</v>
      </c>
      <c r="AB97" s="2">
        <v>92</v>
      </c>
      <c r="AC97" s="2">
        <v>0</v>
      </c>
      <c r="AD97" s="34">
        <v>45763</v>
      </c>
      <c r="AF97" s="12">
        <v>0.41</v>
      </c>
      <c r="AG97" s="12">
        <v>10.74</v>
      </c>
      <c r="AH97" s="144">
        <v>0.13900000000000001</v>
      </c>
    </row>
    <row r="98" spans="1:34" x14ac:dyDescent="0.3">
      <c r="A98" s="105">
        <v>73</v>
      </c>
      <c r="B98" s="2" t="s">
        <v>495</v>
      </c>
      <c r="C98" s="87">
        <v>24.26</v>
      </c>
      <c r="D98" s="308">
        <v>3.009068489074707</v>
      </c>
      <c r="E98" s="310">
        <v>3.5861499309539795</v>
      </c>
      <c r="F98" s="180">
        <v>3.9571311473846436</v>
      </c>
      <c r="G98" s="157">
        <v>52.302627563476563</v>
      </c>
      <c r="H98" s="2">
        <v>87</v>
      </c>
      <c r="I98" s="2">
        <v>0</v>
      </c>
      <c r="J98" s="58">
        <v>45762</v>
      </c>
      <c r="K98" s="105">
        <v>73</v>
      </c>
      <c r="L98" s="2" t="s">
        <v>434</v>
      </c>
      <c r="M98" s="87">
        <v>25.04</v>
      </c>
      <c r="N98" s="176">
        <v>2.9153354167938232</v>
      </c>
      <c r="O98" s="310">
        <v>3.5143768787384033</v>
      </c>
      <c r="P98" s="310">
        <v>3.714057445526123</v>
      </c>
      <c r="Q98" s="158">
        <v>49.563217163085938</v>
      </c>
      <c r="R98" s="2">
        <v>88</v>
      </c>
      <c r="S98" s="2">
        <v>0</v>
      </c>
      <c r="T98" s="34">
        <v>45730</v>
      </c>
      <c r="U98" s="105">
        <v>73</v>
      </c>
      <c r="V98" s="2" t="s">
        <v>410</v>
      </c>
      <c r="W98" s="87">
        <v>25.95</v>
      </c>
      <c r="X98" s="176">
        <v>2.8131020069122314</v>
      </c>
      <c r="Y98" s="178">
        <v>3.4682080745697021</v>
      </c>
      <c r="Z98" s="310">
        <v>3.660886287689209</v>
      </c>
      <c r="AA98" s="158">
        <v>46.644920349121094</v>
      </c>
      <c r="AB98" s="2">
        <v>90</v>
      </c>
      <c r="AC98" s="2">
        <v>0</v>
      </c>
      <c r="AD98" s="34">
        <v>45760</v>
      </c>
      <c r="AF98" s="12">
        <v>0.09</v>
      </c>
      <c r="AG98" s="12">
        <v>2.33</v>
      </c>
      <c r="AH98" s="144">
        <v>3.2000000000000001E-2</v>
      </c>
    </row>
    <row r="99" spans="1:34" x14ac:dyDescent="0.3">
      <c r="A99" s="105">
        <v>74</v>
      </c>
      <c r="B99" s="2" t="s">
        <v>481</v>
      </c>
      <c r="C99" s="87">
        <v>24.42</v>
      </c>
      <c r="D99" s="308">
        <v>3.0303030014038086</v>
      </c>
      <c r="E99" s="180">
        <v>3.7674038410186768</v>
      </c>
      <c r="F99" s="309">
        <v>4.0950040817260742</v>
      </c>
      <c r="G99" s="157">
        <v>52.429908752441406</v>
      </c>
      <c r="H99" s="2">
        <v>92</v>
      </c>
      <c r="I99" s="2">
        <v>0</v>
      </c>
      <c r="J99" s="58">
        <v>45763</v>
      </c>
      <c r="K99" s="105">
        <v>74</v>
      </c>
      <c r="L99" s="2" t="s">
        <v>506</v>
      </c>
      <c r="M99" s="87">
        <v>25.08</v>
      </c>
      <c r="N99" s="176">
        <v>2.9505581855773926</v>
      </c>
      <c r="O99" s="310">
        <v>3.7081339359283447</v>
      </c>
      <c r="P99" s="180">
        <v>3.9872407913208008</v>
      </c>
      <c r="Q99" s="157">
        <v>50.106021881103516</v>
      </c>
      <c r="R99" s="2">
        <v>93</v>
      </c>
      <c r="S99" s="2">
        <v>0</v>
      </c>
      <c r="T99" s="34">
        <v>45804</v>
      </c>
      <c r="U99" s="105">
        <v>74</v>
      </c>
      <c r="V99" s="2" t="s">
        <v>434</v>
      </c>
      <c r="W99" s="87">
        <v>25.75</v>
      </c>
      <c r="X99" s="176">
        <v>2.873786449432373</v>
      </c>
      <c r="Y99" s="178">
        <v>3.4563107490539551</v>
      </c>
      <c r="Z99" s="310">
        <v>3.7281553745269775</v>
      </c>
      <c r="AA99" s="158">
        <v>47.909919738769531</v>
      </c>
      <c r="AB99" s="2">
        <v>89</v>
      </c>
      <c r="AC99" s="2">
        <v>0</v>
      </c>
      <c r="AD99" s="34">
        <v>45761</v>
      </c>
      <c r="AF99" s="12">
        <v>0.08</v>
      </c>
      <c r="AG99" s="12">
        <v>1.85</v>
      </c>
      <c r="AH99" s="144">
        <v>2.7E-2</v>
      </c>
    </row>
    <row r="100" spans="1:34" x14ac:dyDescent="0.3">
      <c r="A100" s="105">
        <v>75</v>
      </c>
      <c r="B100" s="2" t="s">
        <v>471</v>
      </c>
      <c r="C100" s="86">
        <v>23.26</v>
      </c>
      <c r="D100" s="308">
        <v>3.2244195938110352</v>
      </c>
      <c r="E100" s="180">
        <v>3.7833189964294434</v>
      </c>
      <c r="F100" s="309">
        <v>4.2132415771484375</v>
      </c>
      <c r="G100" s="159">
        <v>57.721786499023438</v>
      </c>
      <c r="H100" s="2">
        <v>88</v>
      </c>
      <c r="I100" s="2">
        <v>0</v>
      </c>
      <c r="J100" s="58">
        <v>45793</v>
      </c>
      <c r="K100" s="105">
        <v>75</v>
      </c>
      <c r="L100" s="2" t="s">
        <v>413</v>
      </c>
      <c r="M100" s="87">
        <v>24.84</v>
      </c>
      <c r="N100" s="308">
        <v>3.0193235874176025</v>
      </c>
      <c r="O100" s="310">
        <v>3.6634459495544434</v>
      </c>
      <c r="P100" s="180">
        <v>3.9452495574951172</v>
      </c>
      <c r="Q100" s="157">
        <v>51.620067596435547</v>
      </c>
      <c r="R100" s="2">
        <v>91</v>
      </c>
      <c r="S100" s="2">
        <v>0</v>
      </c>
      <c r="T100" s="34">
        <v>45780</v>
      </c>
      <c r="U100" s="105">
        <v>75</v>
      </c>
      <c r="V100" s="2" t="s">
        <v>413</v>
      </c>
      <c r="W100" s="87">
        <v>25.32</v>
      </c>
      <c r="X100" s="176">
        <v>2.9620852470397949</v>
      </c>
      <c r="Y100" s="178">
        <v>3.4360189437866211</v>
      </c>
      <c r="Z100" s="310">
        <v>3.7124803066253662</v>
      </c>
      <c r="AA100" s="158">
        <v>49.967544555664063</v>
      </c>
      <c r="AB100" s="2">
        <v>87</v>
      </c>
      <c r="AC100" s="2">
        <v>0</v>
      </c>
      <c r="AD100" s="34">
        <v>45805</v>
      </c>
      <c r="AF100" s="12">
        <v>0.21</v>
      </c>
      <c r="AG100" s="12">
        <v>4.43</v>
      </c>
      <c r="AH100" s="144">
        <v>6.8000000000000005E-2</v>
      </c>
    </row>
    <row r="101" spans="1:34" x14ac:dyDescent="0.3">
      <c r="A101" s="105">
        <v>76</v>
      </c>
      <c r="B101" s="2" t="s">
        <v>410</v>
      </c>
      <c r="C101" s="87">
        <v>25.61</v>
      </c>
      <c r="D101" s="176">
        <v>2.9675908088684082</v>
      </c>
      <c r="E101" s="310">
        <v>3.6704411506652832</v>
      </c>
      <c r="F101" s="309">
        <v>4.0218663215637207</v>
      </c>
      <c r="G101" s="158">
        <v>49.662925720214844</v>
      </c>
      <c r="H101" s="2">
        <v>94</v>
      </c>
      <c r="I101" s="2">
        <v>0</v>
      </c>
      <c r="J101" s="58">
        <v>45762</v>
      </c>
      <c r="K101" s="105">
        <v>76</v>
      </c>
      <c r="L101" s="2" t="s">
        <v>403</v>
      </c>
      <c r="M101" s="88">
        <v>26.04</v>
      </c>
      <c r="N101" s="176">
        <v>2.9185867309570313</v>
      </c>
      <c r="O101" s="178">
        <v>3.3794162273406982</v>
      </c>
      <c r="P101" s="310">
        <v>3.6098308563232422</v>
      </c>
      <c r="Q101" s="158">
        <v>48.276847839355469</v>
      </c>
      <c r="R101" s="2">
        <v>88</v>
      </c>
      <c r="S101" s="2">
        <v>0</v>
      </c>
      <c r="T101" s="34">
        <v>45704</v>
      </c>
      <c r="U101" s="105">
        <v>76</v>
      </c>
      <c r="V101" s="2" t="s">
        <v>410</v>
      </c>
      <c r="W101" s="88">
        <v>26.46</v>
      </c>
      <c r="X101" s="176">
        <v>2.8722600936889648</v>
      </c>
      <c r="Y101" s="310">
        <v>3.5903251171112061</v>
      </c>
      <c r="Z101" s="180">
        <v>3.8548753261566162</v>
      </c>
      <c r="AA101" s="158">
        <v>46.981395721435547</v>
      </c>
      <c r="AB101" s="2">
        <v>95</v>
      </c>
      <c r="AC101" s="2">
        <v>0</v>
      </c>
      <c r="AD101" s="34">
        <v>45763</v>
      </c>
      <c r="AF101" s="12">
        <v>0.05</v>
      </c>
      <c r="AG101" s="12">
        <v>0.98</v>
      </c>
      <c r="AH101" s="144">
        <v>1.7000000000000001E-2</v>
      </c>
    </row>
    <row r="102" spans="1:34" x14ac:dyDescent="0.3">
      <c r="A102" s="105">
        <v>77</v>
      </c>
      <c r="B102" s="2" t="s">
        <v>483</v>
      </c>
      <c r="C102" s="87">
        <v>24.36</v>
      </c>
      <c r="D102" s="308">
        <v>3.1609194278717041</v>
      </c>
      <c r="E102" s="310">
        <v>3.5303776264190674</v>
      </c>
      <c r="F102" s="310">
        <v>3.7356321811676025</v>
      </c>
      <c r="G102" s="157">
        <v>54.784076690673828</v>
      </c>
      <c r="H102" s="2">
        <v>86</v>
      </c>
      <c r="I102" s="2">
        <v>0</v>
      </c>
      <c r="J102" s="58">
        <v>45762</v>
      </c>
      <c r="K102" s="105">
        <v>77</v>
      </c>
      <c r="L102" s="2" t="s">
        <v>423</v>
      </c>
      <c r="M102" s="87">
        <v>24.86</v>
      </c>
      <c r="N102" s="308">
        <v>3.0973451137542725</v>
      </c>
      <c r="O102" s="178">
        <v>3.419147253036499</v>
      </c>
      <c r="P102" s="310">
        <v>3.7409491539001465</v>
      </c>
      <c r="Q102" s="157">
        <v>52.924137115478516</v>
      </c>
      <c r="R102" s="2">
        <v>85</v>
      </c>
      <c r="S102" s="2">
        <v>0</v>
      </c>
      <c r="T102" s="34">
        <v>45764</v>
      </c>
      <c r="U102" s="105">
        <v>77</v>
      </c>
      <c r="V102" s="2" t="s">
        <v>467</v>
      </c>
      <c r="W102" s="87">
        <v>25.56</v>
      </c>
      <c r="X102" s="308">
        <v>3.0125195980072021</v>
      </c>
      <c r="Y102" s="310">
        <v>3.7167448997497559</v>
      </c>
      <c r="Z102" s="309">
        <v>4.0297341346740723</v>
      </c>
      <c r="AA102" s="157">
        <v>50.483833312988281</v>
      </c>
      <c r="AB102" s="2">
        <v>95</v>
      </c>
      <c r="AC102" s="2">
        <v>0</v>
      </c>
      <c r="AD102" s="34">
        <v>45804</v>
      </c>
      <c r="AF102" s="12">
        <v>0.06</v>
      </c>
      <c r="AG102" s="12">
        <v>1.17</v>
      </c>
      <c r="AH102" s="144">
        <v>2.1000000000000001E-2</v>
      </c>
    </row>
    <row r="103" spans="1:34" x14ac:dyDescent="0.3">
      <c r="A103" s="105">
        <v>78</v>
      </c>
      <c r="B103" s="2" t="s">
        <v>454</v>
      </c>
      <c r="C103" s="87">
        <v>24.13</v>
      </c>
      <c r="D103" s="308">
        <v>3.2324907779693604</v>
      </c>
      <c r="E103" s="180">
        <v>3.854123592376709</v>
      </c>
      <c r="F103" s="309">
        <v>4.0198922157287598</v>
      </c>
      <c r="G103" s="159">
        <v>56.397804260253906</v>
      </c>
      <c r="H103" s="2">
        <v>93</v>
      </c>
      <c r="I103" s="2">
        <v>0</v>
      </c>
      <c r="J103" s="58">
        <v>45763</v>
      </c>
      <c r="K103" s="105">
        <v>78</v>
      </c>
      <c r="L103" s="2" t="s">
        <v>476</v>
      </c>
      <c r="M103" s="88">
        <v>27.03</v>
      </c>
      <c r="N103" s="176">
        <v>2.8856825828552246</v>
      </c>
      <c r="O103" s="310">
        <v>3.6995930671691895</v>
      </c>
      <c r="P103" s="309">
        <v>4.1065483093261719</v>
      </c>
      <c r="Q103" s="158">
        <v>46.501968383789063</v>
      </c>
      <c r="R103" s="2">
        <v>100</v>
      </c>
      <c r="S103" s="2">
        <v>0</v>
      </c>
      <c r="T103" s="34">
        <v>45744</v>
      </c>
      <c r="U103" s="105">
        <v>78</v>
      </c>
      <c r="V103" s="2" t="s">
        <v>515</v>
      </c>
      <c r="W103" s="88">
        <v>27.77</v>
      </c>
      <c r="X103" s="176">
        <v>2.8087863922119141</v>
      </c>
      <c r="Y103" s="310">
        <v>3.6010081768035889</v>
      </c>
      <c r="Z103" s="180">
        <v>3.8530788421630859</v>
      </c>
      <c r="AA103" s="158">
        <v>44.415096282958984</v>
      </c>
      <c r="AB103" s="2">
        <v>100</v>
      </c>
      <c r="AC103" s="2">
        <v>0</v>
      </c>
      <c r="AD103" s="34">
        <v>45801</v>
      </c>
      <c r="AF103" s="12">
        <v>0.35</v>
      </c>
      <c r="AG103" s="12">
        <v>5.8100000000000005</v>
      </c>
      <c r="AH103" s="144">
        <v>0.12</v>
      </c>
    </row>
    <row r="104" spans="1:34" x14ac:dyDescent="0.3">
      <c r="A104" s="105">
        <v>79</v>
      </c>
      <c r="B104" s="2" t="s">
        <v>466</v>
      </c>
      <c r="C104" s="87">
        <v>25.8</v>
      </c>
      <c r="D104" s="308">
        <v>3.0620155334472656</v>
      </c>
      <c r="E104" s="310">
        <v>3.6434109210968018</v>
      </c>
      <c r="F104" s="309">
        <v>4.0310077667236328</v>
      </c>
      <c r="G104" s="157">
        <v>50.978683471679688</v>
      </c>
      <c r="H104" s="2">
        <v>94</v>
      </c>
      <c r="I104" s="2">
        <v>0</v>
      </c>
      <c r="J104" s="58">
        <v>45807</v>
      </c>
      <c r="K104" s="105">
        <v>79</v>
      </c>
      <c r="L104" s="2" t="s">
        <v>474</v>
      </c>
      <c r="M104" s="88">
        <v>26.14</v>
      </c>
      <c r="N104" s="308">
        <v>3.0221881866455078</v>
      </c>
      <c r="O104" s="178">
        <v>3.3664882183074951</v>
      </c>
      <c r="P104" s="310">
        <v>3.7490437030792236</v>
      </c>
      <c r="Q104" s="158">
        <v>49.856594085693359</v>
      </c>
      <c r="R104" s="2">
        <v>88</v>
      </c>
      <c r="S104" s="2">
        <v>0</v>
      </c>
      <c r="T104" s="34">
        <v>45763</v>
      </c>
      <c r="U104" s="105">
        <v>79</v>
      </c>
      <c r="V104" s="2" t="s">
        <v>442</v>
      </c>
      <c r="W104" s="88">
        <v>27.5</v>
      </c>
      <c r="X104" s="176">
        <v>2.8727271556854248</v>
      </c>
      <c r="Y104" s="308">
        <v>3.2000000476837158</v>
      </c>
      <c r="Z104" s="178">
        <v>3.4909090995788574</v>
      </c>
      <c r="AA104" s="158">
        <v>45.737934112548828</v>
      </c>
      <c r="AB104" s="2">
        <v>88</v>
      </c>
      <c r="AC104" s="2">
        <v>0</v>
      </c>
      <c r="AD104" s="34">
        <v>45804</v>
      </c>
      <c r="AF104" s="12">
        <v>0.04</v>
      </c>
      <c r="AG104" s="12">
        <v>0.61</v>
      </c>
      <c r="AH104" s="144">
        <v>1.2999999999999999E-2</v>
      </c>
    </row>
    <row r="105" spans="1:34" x14ac:dyDescent="0.3">
      <c r="A105" s="105">
        <v>80</v>
      </c>
      <c r="B105" s="2" t="s">
        <v>461</v>
      </c>
      <c r="C105" s="86">
        <v>23.28</v>
      </c>
      <c r="D105" s="178">
        <v>3.4364259243011475</v>
      </c>
      <c r="E105" s="180">
        <v>3.9948451519012451</v>
      </c>
      <c r="F105" s="309">
        <v>4.2096219062805176</v>
      </c>
      <c r="G105" s="159">
        <v>61.480010986328125</v>
      </c>
      <c r="H105" s="2">
        <v>93</v>
      </c>
      <c r="I105" s="2">
        <v>0</v>
      </c>
      <c r="J105" s="58">
        <v>45810</v>
      </c>
      <c r="K105" s="105">
        <v>80</v>
      </c>
      <c r="L105" s="2" t="s">
        <v>495</v>
      </c>
      <c r="M105" s="168">
        <v>28.87</v>
      </c>
      <c r="N105" s="176">
        <v>2.7710425853729248</v>
      </c>
      <c r="O105" s="178">
        <v>3.498441219329834</v>
      </c>
      <c r="P105" s="180">
        <v>3.8101835250854492</v>
      </c>
      <c r="Q105" s="158">
        <v>42.642772674560547</v>
      </c>
      <c r="R105" s="2">
        <v>101</v>
      </c>
      <c r="S105" s="2">
        <v>0</v>
      </c>
      <c r="T105" s="34">
        <v>45705</v>
      </c>
      <c r="U105" s="105">
        <v>80</v>
      </c>
      <c r="V105" s="2" t="s">
        <v>434</v>
      </c>
      <c r="W105" s="168">
        <v>28.98</v>
      </c>
      <c r="X105" s="176">
        <v>2.7605245113372803</v>
      </c>
      <c r="Y105" s="178">
        <v>3.3126294612884521</v>
      </c>
      <c r="Z105" s="310">
        <v>3.6576950550079346</v>
      </c>
      <c r="AA105" s="158">
        <v>42.36798095703125</v>
      </c>
      <c r="AB105" s="2">
        <v>96</v>
      </c>
      <c r="AC105" s="2">
        <v>0</v>
      </c>
      <c r="AD105" s="34">
        <v>45704</v>
      </c>
      <c r="AF105" s="12">
        <v>0.67</v>
      </c>
      <c r="AG105" s="12">
        <v>9.17</v>
      </c>
      <c r="AH105" s="144">
        <v>0.24</v>
      </c>
    </row>
    <row r="106" spans="1:34" x14ac:dyDescent="0.3">
      <c r="A106" s="105">
        <v>81</v>
      </c>
      <c r="B106" s="2" t="s">
        <v>479</v>
      </c>
      <c r="C106" s="87">
        <v>25.61</v>
      </c>
      <c r="D106" s="308">
        <v>3.1628270149230957</v>
      </c>
      <c r="E106" s="310">
        <v>3.5923466682434082</v>
      </c>
      <c r="F106" s="180">
        <v>3.8656773567199707</v>
      </c>
      <c r="G106" s="157">
        <v>52.930225372314453</v>
      </c>
      <c r="H106" s="2">
        <v>92</v>
      </c>
      <c r="I106" s="2">
        <v>0</v>
      </c>
      <c r="J106" s="58">
        <v>45793</v>
      </c>
      <c r="K106" s="105">
        <v>81</v>
      </c>
      <c r="L106" s="2" t="s">
        <v>498</v>
      </c>
      <c r="M106" s="88">
        <v>27.27</v>
      </c>
      <c r="N106" s="176">
        <v>2.97029709815979</v>
      </c>
      <c r="O106" s="310">
        <v>3.7037036418914795</v>
      </c>
      <c r="P106" s="180">
        <v>3.8503849506378174</v>
      </c>
      <c r="Q106" s="158">
        <v>47.570236206054688</v>
      </c>
      <c r="R106" s="2">
        <v>101</v>
      </c>
      <c r="S106" s="2">
        <v>0</v>
      </c>
      <c r="T106" s="34">
        <v>45805</v>
      </c>
      <c r="U106" s="105">
        <v>81</v>
      </c>
      <c r="V106" s="2" t="s">
        <v>454</v>
      </c>
      <c r="W106" s="88">
        <v>27.62</v>
      </c>
      <c r="X106" s="176">
        <v>2.9326574802398682</v>
      </c>
      <c r="Y106" s="178">
        <v>3.4395365715026855</v>
      </c>
      <c r="Z106" s="310">
        <v>3.7291815280914307</v>
      </c>
      <c r="AA106" s="158">
        <v>46.550006866455078</v>
      </c>
      <c r="AB106" s="2">
        <v>95</v>
      </c>
      <c r="AC106" s="2">
        <v>0</v>
      </c>
      <c r="AD106" s="34">
        <v>45711</v>
      </c>
      <c r="AF106" s="12">
        <v>0.19</v>
      </c>
      <c r="AG106" s="12">
        <v>2.39</v>
      </c>
      <c r="AH106" s="144">
        <v>6.5000000000000002E-2</v>
      </c>
    </row>
    <row r="107" spans="1:34" x14ac:dyDescent="0.3">
      <c r="A107" s="105">
        <v>82</v>
      </c>
      <c r="B107" s="2" t="s">
        <v>415</v>
      </c>
      <c r="C107" s="87">
        <v>25.92</v>
      </c>
      <c r="D107" s="308">
        <v>3.1635801792144775</v>
      </c>
      <c r="E107" s="310">
        <v>3.665123462677002</v>
      </c>
      <c r="F107" s="309">
        <v>4.1666665077209473</v>
      </c>
      <c r="G107" s="157">
        <v>52.498798370361328</v>
      </c>
      <c r="H107" s="2">
        <v>95</v>
      </c>
      <c r="I107" s="2">
        <v>0</v>
      </c>
      <c r="J107" s="58">
        <v>45705</v>
      </c>
      <c r="K107" s="105">
        <v>82</v>
      </c>
      <c r="L107" s="2" t="s">
        <v>434</v>
      </c>
      <c r="M107" s="88">
        <v>26.13</v>
      </c>
      <c r="N107" s="308">
        <v>3.138155460357666</v>
      </c>
      <c r="O107" s="180">
        <v>3.8270189762115479</v>
      </c>
      <c r="P107" s="309">
        <v>4.0566401481628418</v>
      </c>
      <c r="Q107" s="157">
        <v>51.783557891845703</v>
      </c>
      <c r="R107" s="2">
        <v>100</v>
      </c>
      <c r="S107" s="2">
        <v>0</v>
      </c>
      <c r="T107" s="34">
        <v>45764</v>
      </c>
      <c r="U107" s="105">
        <v>82</v>
      </c>
      <c r="V107" s="2" t="s">
        <v>479</v>
      </c>
      <c r="W107" s="88">
        <v>26.68</v>
      </c>
      <c r="X107" s="308">
        <v>3.0734632015228271</v>
      </c>
      <c r="Y107" s="310">
        <v>3.5232384204864502</v>
      </c>
      <c r="Z107" s="310">
        <v>3.7481257915496826</v>
      </c>
      <c r="AA107" s="158">
        <v>49.981922149658203</v>
      </c>
      <c r="AB107" s="2">
        <v>94</v>
      </c>
      <c r="AC107" s="2">
        <v>0</v>
      </c>
      <c r="AD107" s="34">
        <v>45716</v>
      </c>
      <c r="AF107" s="12">
        <v>0.03</v>
      </c>
      <c r="AG107" s="12">
        <v>0.27999999999999997</v>
      </c>
      <c r="AH107" s="144">
        <v>8.0000000000000002E-3</v>
      </c>
    </row>
    <row r="108" spans="1:34" x14ac:dyDescent="0.3">
      <c r="A108" s="105">
        <v>83</v>
      </c>
      <c r="B108" s="2" t="s">
        <v>415</v>
      </c>
      <c r="C108" s="87">
        <v>25.67</v>
      </c>
      <c r="D108" s="308">
        <v>3.2333462238311768</v>
      </c>
      <c r="E108" s="180">
        <v>3.8176860809326172</v>
      </c>
      <c r="F108" s="309">
        <v>4.1682896614074707</v>
      </c>
      <c r="G108" s="157">
        <v>54.021808624267578</v>
      </c>
      <c r="H108" s="2">
        <v>98</v>
      </c>
      <c r="I108" s="2">
        <v>0</v>
      </c>
      <c r="J108" s="58">
        <v>45767</v>
      </c>
      <c r="K108" s="105">
        <v>83</v>
      </c>
      <c r="L108" s="2" t="s">
        <v>476</v>
      </c>
      <c r="M108" s="88">
        <v>26.71</v>
      </c>
      <c r="N108" s="308">
        <v>3.1074504852294922</v>
      </c>
      <c r="O108" s="310">
        <v>3.7439162731170654</v>
      </c>
      <c r="P108" s="180">
        <v>3.9311120510101318</v>
      </c>
      <c r="Q108" s="157">
        <v>50.494899749755859</v>
      </c>
      <c r="R108" s="2">
        <v>100</v>
      </c>
      <c r="S108" s="2">
        <v>0</v>
      </c>
      <c r="T108" s="34">
        <v>45801</v>
      </c>
      <c r="U108" s="105">
        <v>83</v>
      </c>
      <c r="V108" s="2" t="s">
        <v>498</v>
      </c>
      <c r="W108" s="168">
        <v>29.8</v>
      </c>
      <c r="X108" s="176">
        <v>2.7852349281311035</v>
      </c>
      <c r="Y108" s="178">
        <v>3.288590669631958</v>
      </c>
      <c r="Z108" s="310">
        <v>3.6577181816101074</v>
      </c>
      <c r="AA108" s="158">
        <v>41.920406341552734</v>
      </c>
      <c r="AB108" s="2">
        <v>98</v>
      </c>
      <c r="AC108" s="2">
        <v>0</v>
      </c>
      <c r="AD108" s="34">
        <v>45780</v>
      </c>
      <c r="AF108" s="12">
        <v>0.13</v>
      </c>
      <c r="AG108" s="12">
        <v>1.24</v>
      </c>
      <c r="AH108" s="144">
        <v>4.1000000000000002E-2</v>
      </c>
    </row>
    <row r="109" spans="1:34" x14ac:dyDescent="0.3">
      <c r="A109" s="105">
        <v>84</v>
      </c>
      <c r="B109" s="2" t="s">
        <v>466</v>
      </c>
      <c r="C109" s="88">
        <v>26.96</v>
      </c>
      <c r="D109" s="308">
        <v>3.1157271862030029</v>
      </c>
      <c r="E109" s="310">
        <v>3.746290922164917</v>
      </c>
      <c r="F109" s="309">
        <v>4.0059347152709961</v>
      </c>
      <c r="G109" s="157">
        <v>50.30029296875</v>
      </c>
      <c r="H109" s="2">
        <v>101</v>
      </c>
      <c r="I109" s="2">
        <v>0</v>
      </c>
      <c r="J109" s="58">
        <v>45804</v>
      </c>
      <c r="K109" s="105">
        <v>84</v>
      </c>
      <c r="L109" s="2" t="s">
        <v>467</v>
      </c>
      <c r="M109" s="88">
        <v>27.64</v>
      </c>
      <c r="N109" s="308">
        <v>3.0390739440917969</v>
      </c>
      <c r="O109" s="310">
        <v>3.7264833450317383</v>
      </c>
      <c r="P109" s="180">
        <v>3.9797396659851074</v>
      </c>
      <c r="Q109" s="158">
        <v>48.2147216796875</v>
      </c>
      <c r="R109" s="2">
        <v>103</v>
      </c>
      <c r="S109" s="2">
        <v>0</v>
      </c>
      <c r="T109" s="34">
        <v>45810</v>
      </c>
      <c r="U109" s="105">
        <v>84</v>
      </c>
      <c r="V109" s="2" t="s">
        <v>516</v>
      </c>
      <c r="W109" s="168">
        <v>29.28</v>
      </c>
      <c r="X109" s="176">
        <v>2.8688523769378662</v>
      </c>
      <c r="Y109" s="178">
        <v>3.4153003692626953</v>
      </c>
      <c r="Z109" s="180">
        <v>3.8934426307678223</v>
      </c>
      <c r="AA109" s="158">
        <v>43.714290618896484</v>
      </c>
      <c r="AB109" s="2">
        <v>100</v>
      </c>
      <c r="AC109" s="2">
        <v>0</v>
      </c>
      <c r="AD109" s="34">
        <v>45762</v>
      </c>
      <c r="AF109" s="12">
        <v>0.08</v>
      </c>
      <c r="AG109" s="12">
        <v>0.67</v>
      </c>
      <c r="AH109" s="144">
        <v>2.5000000000000001E-2</v>
      </c>
    </row>
    <row r="110" spans="1:34" x14ac:dyDescent="0.3">
      <c r="A110" s="105">
        <v>85</v>
      </c>
      <c r="B110" s="2" t="s">
        <v>466</v>
      </c>
      <c r="C110" s="88">
        <v>27.36</v>
      </c>
      <c r="D110" s="308">
        <v>3.1067249774932861</v>
      </c>
      <c r="E110" s="310">
        <v>3.6184210777282715</v>
      </c>
      <c r="F110" s="309">
        <v>4.0935673713684082</v>
      </c>
      <c r="G110" s="158">
        <v>49.640548706054688</v>
      </c>
      <c r="H110" s="2">
        <v>99</v>
      </c>
      <c r="I110" s="2">
        <v>0</v>
      </c>
      <c r="J110" s="58">
        <v>45810</v>
      </c>
      <c r="K110" s="105">
        <v>85</v>
      </c>
      <c r="L110" s="2" t="s">
        <v>406</v>
      </c>
      <c r="M110" s="168">
        <v>29.1</v>
      </c>
      <c r="N110" s="176">
        <v>2.9209620952606201</v>
      </c>
      <c r="O110" s="178">
        <v>3.3333332538604736</v>
      </c>
      <c r="P110" s="310">
        <v>3.6769759654998779</v>
      </c>
      <c r="Q110" s="158">
        <v>44.700855255126953</v>
      </c>
      <c r="R110" s="2">
        <v>97</v>
      </c>
      <c r="S110" s="2">
        <v>0</v>
      </c>
      <c r="T110" s="34">
        <v>45705</v>
      </c>
      <c r="U110" s="105">
        <v>85</v>
      </c>
      <c r="V110" s="2" t="s">
        <v>506</v>
      </c>
      <c r="W110" s="168">
        <v>29.52</v>
      </c>
      <c r="X110" s="176">
        <v>2.879403829574585</v>
      </c>
      <c r="Y110" s="310">
        <v>3.6246612071990967</v>
      </c>
      <c r="Z110" s="180">
        <v>3.8956639766693115</v>
      </c>
      <c r="AA110" s="158">
        <v>43.625068664550781</v>
      </c>
      <c r="AB110" s="2">
        <v>107</v>
      </c>
      <c r="AC110" s="2">
        <v>0</v>
      </c>
      <c r="AD110" s="34">
        <v>45766</v>
      </c>
      <c r="AF110" s="12">
        <v>0.19</v>
      </c>
      <c r="AG110" s="12">
        <v>1.4400000000000002</v>
      </c>
      <c r="AH110" s="144">
        <v>6.4000000000000001E-2</v>
      </c>
    </row>
    <row r="111" spans="1:34" x14ac:dyDescent="0.3">
      <c r="A111" s="105">
        <v>86</v>
      </c>
      <c r="B111" s="2" t="s">
        <v>422</v>
      </c>
      <c r="C111" s="168">
        <v>28.62</v>
      </c>
      <c r="D111" s="308">
        <v>3.0048916339874268</v>
      </c>
      <c r="E111" s="308">
        <v>3.2494757175445557</v>
      </c>
      <c r="F111" s="310">
        <v>3.5290005207061768</v>
      </c>
      <c r="G111" s="158">
        <v>46.523788452148438</v>
      </c>
      <c r="H111" s="2">
        <v>93</v>
      </c>
      <c r="I111" s="2">
        <v>0</v>
      </c>
      <c r="J111" s="58">
        <v>45793</v>
      </c>
      <c r="K111" s="105">
        <v>86</v>
      </c>
      <c r="L111" s="2" t="s">
        <v>415</v>
      </c>
      <c r="M111" s="168">
        <v>28.86</v>
      </c>
      <c r="N111" s="176">
        <v>2.979902982711792</v>
      </c>
      <c r="O111" s="178">
        <v>3.3610532283782959</v>
      </c>
      <c r="P111" s="310">
        <v>3.7075536251068115</v>
      </c>
      <c r="Q111" s="158">
        <v>45.867988586425781</v>
      </c>
      <c r="R111" s="2">
        <v>97</v>
      </c>
      <c r="S111" s="2">
        <v>0</v>
      </c>
      <c r="T111" s="34">
        <v>45697</v>
      </c>
      <c r="U111" s="105">
        <v>86</v>
      </c>
      <c r="V111" s="2" t="s">
        <v>476</v>
      </c>
      <c r="W111" s="2">
        <v>30.05</v>
      </c>
      <c r="X111" s="176">
        <v>2.8618969917297363</v>
      </c>
      <c r="Y111" s="310">
        <v>3.5274543762207031</v>
      </c>
      <c r="Z111" s="180">
        <v>3.760399341583252</v>
      </c>
      <c r="AA111" s="158">
        <v>42.823078155517578</v>
      </c>
      <c r="AB111" s="2">
        <v>106</v>
      </c>
      <c r="AC111" s="2">
        <v>0</v>
      </c>
      <c r="AD111" s="34">
        <v>45777</v>
      </c>
      <c r="AF111" s="12">
        <v>0.02</v>
      </c>
      <c r="AG111" s="12">
        <v>0.17</v>
      </c>
      <c r="AH111" s="144">
        <v>8.0000000000000002E-3</v>
      </c>
    </row>
    <row r="112" spans="1:34" x14ac:dyDescent="0.3">
      <c r="D112" s="177"/>
      <c r="E112" s="176"/>
      <c r="F112" s="307"/>
      <c r="G112" s="158"/>
    </row>
    <row r="113" spans="1:34" x14ac:dyDescent="0.3">
      <c r="A113" s="105">
        <v>88</v>
      </c>
      <c r="B113" s="2" t="s">
        <v>464</v>
      </c>
      <c r="C113" s="88">
        <v>26.13</v>
      </c>
      <c r="D113" s="178">
        <v>3.36777663230896</v>
      </c>
      <c r="E113" s="180">
        <v>3.7504785060882568</v>
      </c>
      <c r="F113" s="309">
        <v>4.0183696746826172</v>
      </c>
      <c r="G113" s="157">
        <v>55.572601318359375</v>
      </c>
      <c r="H113" s="2">
        <v>98</v>
      </c>
      <c r="I113" s="2">
        <v>0</v>
      </c>
      <c r="J113" s="58">
        <v>45777</v>
      </c>
      <c r="K113" s="105">
        <v>88</v>
      </c>
      <c r="L113" s="2" t="s">
        <v>454</v>
      </c>
      <c r="M113" s="88">
        <v>27.89</v>
      </c>
      <c r="N113" s="308">
        <v>3.1552529335021973</v>
      </c>
      <c r="O113" s="310">
        <v>3.7289352416992188</v>
      </c>
      <c r="P113" s="180">
        <v>3.9082109928131104</v>
      </c>
      <c r="Q113" s="158">
        <v>49.743370056152344</v>
      </c>
      <c r="R113" s="2">
        <v>104</v>
      </c>
      <c r="S113" s="2">
        <v>0</v>
      </c>
      <c r="T113" s="34">
        <v>45801</v>
      </c>
      <c r="U113" s="105">
        <v>88</v>
      </c>
      <c r="V113" s="2" t="s">
        <v>481</v>
      </c>
      <c r="W113" s="2">
        <v>30.78</v>
      </c>
      <c r="X113" s="176">
        <v>2.8589992523193359</v>
      </c>
      <c r="Y113" s="310">
        <v>3.5412604808807373</v>
      </c>
      <c r="Z113" s="180">
        <v>3.7686808109283447</v>
      </c>
      <c r="AA113" s="158">
        <v>42.066951751708984</v>
      </c>
      <c r="AB113" s="2">
        <v>109</v>
      </c>
      <c r="AC113" s="2">
        <v>0</v>
      </c>
      <c r="AD113" s="34">
        <v>45765</v>
      </c>
      <c r="AF113" s="12">
        <v>0.21</v>
      </c>
      <c r="AG113" s="12">
        <v>1.1000000000000001</v>
      </c>
      <c r="AH113" s="144">
        <v>6.7000000000000004E-2</v>
      </c>
    </row>
    <row r="115" spans="1:34" x14ac:dyDescent="0.3">
      <c r="A115" s="105">
        <v>90</v>
      </c>
      <c r="B115" s="2" t="s">
        <v>427</v>
      </c>
      <c r="C115" s="2">
        <v>31.66</v>
      </c>
      <c r="D115" s="176">
        <v>2.8427038192749023</v>
      </c>
      <c r="E115" s="178">
        <v>3.4112443923950195</v>
      </c>
      <c r="F115" s="310">
        <v>3.5060012340545654</v>
      </c>
      <c r="G115" s="158">
        <v>41.009925842285156</v>
      </c>
      <c r="H115" s="2">
        <v>108</v>
      </c>
      <c r="I115" s="2">
        <v>0</v>
      </c>
      <c r="J115" s="58">
        <v>45763</v>
      </c>
    </row>
    <row r="116" spans="1:34" x14ac:dyDescent="0.3">
      <c r="A116" s="105">
        <v>91</v>
      </c>
      <c r="B116" s="2" t="s">
        <v>498</v>
      </c>
      <c r="C116" s="2">
        <v>30.3</v>
      </c>
      <c r="D116" s="308">
        <v>3.0033004283905029</v>
      </c>
      <c r="E116" s="310">
        <v>3.6633663177490234</v>
      </c>
      <c r="F116" s="309">
        <v>4.0264029502868652</v>
      </c>
      <c r="G116" s="158">
        <v>44.679054260253906</v>
      </c>
      <c r="H116" s="2">
        <v>111</v>
      </c>
      <c r="I116" s="2">
        <v>0</v>
      </c>
      <c r="J116" s="58">
        <v>45804</v>
      </c>
      <c r="K116" s="105">
        <v>91</v>
      </c>
      <c r="L116" s="2" t="s">
        <v>426</v>
      </c>
      <c r="M116" s="2">
        <v>32.119999999999997</v>
      </c>
      <c r="N116" s="176">
        <v>2.8331258296966553</v>
      </c>
      <c r="O116" s="310">
        <v>3.6425905227661133</v>
      </c>
      <c r="P116" s="180">
        <v>3.8293898105621338</v>
      </c>
      <c r="Q116" s="158">
        <v>40.461128234863281</v>
      </c>
      <c r="R116" s="2">
        <v>117</v>
      </c>
      <c r="S116" s="2">
        <v>0</v>
      </c>
      <c r="T116" s="34">
        <v>45705</v>
      </c>
      <c r="AF116" s="12">
        <v>0.17</v>
      </c>
      <c r="AG116" s="12">
        <v>0.55999999999999994</v>
      </c>
      <c r="AH116" s="144">
        <v>0.06</v>
      </c>
    </row>
    <row r="117" spans="1:34" x14ac:dyDescent="0.3">
      <c r="A117" s="105">
        <v>92</v>
      </c>
      <c r="B117" s="2" t="s">
        <v>440</v>
      </c>
      <c r="C117" s="168">
        <v>28.26</v>
      </c>
      <c r="D117" s="178">
        <v>3.2554848194122314</v>
      </c>
      <c r="E117" s="180">
        <v>3.7862703800201416</v>
      </c>
      <c r="F117" s="309">
        <v>4.2108988761901855</v>
      </c>
      <c r="G117" s="157">
        <v>50.852249145507813</v>
      </c>
      <c r="H117" s="2">
        <v>107</v>
      </c>
      <c r="I117" s="2">
        <v>0</v>
      </c>
      <c r="J117" s="58">
        <v>45805</v>
      </c>
      <c r="K117" s="105">
        <v>92</v>
      </c>
      <c r="L117" s="2" t="s">
        <v>461</v>
      </c>
      <c r="M117" s="2">
        <v>30.19</v>
      </c>
      <c r="N117" s="308">
        <v>3.0473666191101074</v>
      </c>
      <c r="O117" s="310">
        <v>3.6767141819000244</v>
      </c>
      <c r="P117" s="180">
        <v>3.7760846614837646</v>
      </c>
      <c r="Q117" s="158">
        <v>45.450172424316406</v>
      </c>
      <c r="R117" s="2">
        <v>111</v>
      </c>
      <c r="S117" s="2">
        <v>0</v>
      </c>
      <c r="T117" s="34">
        <v>45764</v>
      </c>
      <c r="U117" s="105">
        <v>92</v>
      </c>
      <c r="V117" s="2" t="s">
        <v>517</v>
      </c>
      <c r="W117" s="2">
        <v>33.1</v>
      </c>
      <c r="X117" s="176">
        <v>2.7794563770294189</v>
      </c>
      <c r="Y117" s="178">
        <v>3.2930514812469482</v>
      </c>
      <c r="Z117" s="310">
        <v>3.625377893447876</v>
      </c>
      <c r="AA117" s="158">
        <v>38.868274688720703</v>
      </c>
      <c r="AB117" s="2">
        <v>109</v>
      </c>
      <c r="AC117" s="2">
        <v>0</v>
      </c>
      <c r="AD117" s="34">
        <v>45716</v>
      </c>
      <c r="AF117" s="12">
        <v>0.21</v>
      </c>
      <c r="AG117" s="12">
        <v>0.59000000000000008</v>
      </c>
      <c r="AH117" s="144">
        <v>6.8000000000000005E-2</v>
      </c>
    </row>
    <row r="118" spans="1:34" x14ac:dyDescent="0.3">
      <c r="A118" s="105">
        <v>93</v>
      </c>
      <c r="B118" s="2" t="s">
        <v>466</v>
      </c>
      <c r="C118" s="88">
        <v>27.82</v>
      </c>
      <c r="D118" s="178">
        <v>3.342918872833252</v>
      </c>
      <c r="E118" s="180">
        <v>3.9539899826049805</v>
      </c>
      <c r="F118" s="309">
        <v>4.2056074142456055</v>
      </c>
      <c r="G118" s="157">
        <v>52.794765472412109</v>
      </c>
      <c r="H118" s="2">
        <v>110</v>
      </c>
      <c r="I118" s="2">
        <v>0</v>
      </c>
      <c r="J118" s="58">
        <v>45780</v>
      </c>
      <c r="K118" s="105">
        <v>93</v>
      </c>
      <c r="L118" s="2" t="s">
        <v>498</v>
      </c>
      <c r="M118" s="2">
        <v>30.42</v>
      </c>
      <c r="N118" s="308">
        <v>3.057199239730835</v>
      </c>
      <c r="O118" s="310">
        <v>3.7475345134735107</v>
      </c>
      <c r="P118" s="309">
        <v>4.1091384887695313</v>
      </c>
      <c r="Q118" s="158">
        <v>45.355220794677734</v>
      </c>
      <c r="R118" s="2">
        <v>114</v>
      </c>
      <c r="S118" s="2">
        <v>0</v>
      </c>
      <c r="T118" s="34">
        <v>45780</v>
      </c>
      <c r="U118" s="105">
        <v>93</v>
      </c>
      <c r="V118" s="2" t="s">
        <v>476</v>
      </c>
      <c r="W118" s="2">
        <v>30.66</v>
      </c>
      <c r="X118" s="308">
        <v>3.0332682132720947</v>
      </c>
      <c r="Y118" s="180">
        <v>3.7508153915405273</v>
      </c>
      <c r="Z118" s="309">
        <v>4.0117416381835938</v>
      </c>
      <c r="AA118" s="158">
        <v>44.753326416015625</v>
      </c>
      <c r="AB118" s="2">
        <v>115</v>
      </c>
      <c r="AC118" s="2">
        <v>0</v>
      </c>
      <c r="AD118" s="34">
        <v>45761</v>
      </c>
      <c r="AF118" s="12">
        <v>0.28999999999999998</v>
      </c>
      <c r="AG118" s="12">
        <v>0.68</v>
      </c>
      <c r="AH118" s="144">
        <v>9.2999999999999999E-2</v>
      </c>
    </row>
    <row r="119" spans="1:34" x14ac:dyDescent="0.3">
      <c r="A119" s="105">
        <v>94</v>
      </c>
      <c r="B119" s="2" t="s">
        <v>495</v>
      </c>
      <c r="C119" s="2">
        <v>30.44</v>
      </c>
      <c r="D119" s="308">
        <v>3.0880420207977295</v>
      </c>
      <c r="E119" s="310">
        <v>3.7450721263885498</v>
      </c>
      <c r="F119" s="309">
        <v>4.2049932479858398</v>
      </c>
      <c r="G119" s="158">
        <v>45.791721343994141</v>
      </c>
      <c r="H119" s="2">
        <v>114</v>
      </c>
      <c r="I119" s="2">
        <v>0</v>
      </c>
      <c r="J119" s="58">
        <v>45763</v>
      </c>
      <c r="K119" s="105">
        <v>94</v>
      </c>
      <c r="L119" s="2" t="s">
        <v>466</v>
      </c>
      <c r="M119" s="2">
        <v>31.49</v>
      </c>
      <c r="N119" s="176">
        <v>2.9850747585296631</v>
      </c>
      <c r="O119" s="178">
        <v>3.4614162445068359</v>
      </c>
      <c r="P119" s="180">
        <v>3.8107335567474365</v>
      </c>
      <c r="Q119" s="158">
        <v>43.226428985595703</v>
      </c>
      <c r="R119" s="2">
        <v>109</v>
      </c>
      <c r="S119" s="2">
        <v>0</v>
      </c>
      <c r="T119" s="34">
        <v>45762</v>
      </c>
      <c r="AF119" s="12">
        <v>0.1</v>
      </c>
      <c r="AG119" s="12">
        <v>0.21000000000000002</v>
      </c>
      <c r="AH119" s="144">
        <v>3.4000000000000002E-2</v>
      </c>
    </row>
    <row r="123" spans="1:34" x14ac:dyDescent="0.3">
      <c r="A123" s="105">
        <v>98</v>
      </c>
      <c r="B123" s="2" t="s">
        <v>498</v>
      </c>
      <c r="C123" s="2">
        <v>33.1</v>
      </c>
      <c r="D123" s="176">
        <v>2.9607253074645996</v>
      </c>
      <c r="E123" s="310">
        <v>3.5347433090209961</v>
      </c>
      <c r="F123" s="309">
        <v>4.0181269645690918</v>
      </c>
      <c r="G123" s="158">
        <v>41.403163909912109</v>
      </c>
      <c r="H123" s="2">
        <v>117</v>
      </c>
      <c r="I123" s="2">
        <v>0</v>
      </c>
      <c r="J123" s="58">
        <v>45810</v>
      </c>
    </row>
    <row r="124" spans="1:34" x14ac:dyDescent="0.3">
      <c r="A124" s="105">
        <v>99</v>
      </c>
      <c r="B124" s="2" t="s">
        <v>461</v>
      </c>
      <c r="C124" s="168">
        <v>29.36</v>
      </c>
      <c r="D124" s="178">
        <v>3.3719346523284912</v>
      </c>
      <c r="E124" s="180">
        <v>3.848773717880249</v>
      </c>
      <c r="F124" s="309">
        <v>4.087193489074707</v>
      </c>
      <c r="G124" s="157">
        <v>51.281993865966797</v>
      </c>
      <c r="H124" s="2">
        <v>113</v>
      </c>
      <c r="I124" s="2">
        <v>0</v>
      </c>
      <c r="J124" s="58">
        <v>45763</v>
      </c>
    </row>
    <row r="125" spans="1:34" x14ac:dyDescent="0.3">
      <c r="A125" s="105">
        <v>100</v>
      </c>
      <c r="B125" s="2" t="s">
        <v>459</v>
      </c>
      <c r="C125" s="88">
        <v>27.72</v>
      </c>
      <c r="D125" s="310">
        <v>3.6075036525726318</v>
      </c>
      <c r="E125" s="309">
        <v>4.0043292045593262</v>
      </c>
      <c r="F125" s="182">
        <v>4.2568545341491699</v>
      </c>
      <c r="G125" s="159">
        <v>57.117153167724609</v>
      </c>
      <c r="H125" s="2">
        <v>111</v>
      </c>
      <c r="I125" s="2">
        <v>0</v>
      </c>
      <c r="J125" s="58">
        <v>45793</v>
      </c>
    </row>
    <row r="126" spans="1:34" x14ac:dyDescent="0.3">
      <c r="A126" s="105">
        <v>101</v>
      </c>
      <c r="B126" s="2" t="s">
        <v>488</v>
      </c>
      <c r="C126" s="2">
        <v>32.409999999999997</v>
      </c>
      <c r="D126" s="308">
        <v>3.1163220405578613</v>
      </c>
      <c r="E126" s="180">
        <v>3.8259797096252441</v>
      </c>
      <c r="F126" s="309">
        <v>4.134526252746582</v>
      </c>
      <c r="G126" s="158">
        <v>44.226444244384766</v>
      </c>
      <c r="H126" s="2">
        <v>124</v>
      </c>
      <c r="I126" s="2">
        <v>0</v>
      </c>
      <c r="J126" s="58">
        <v>45761</v>
      </c>
      <c r="K126" s="105">
        <v>101</v>
      </c>
      <c r="L126" s="2" t="s">
        <v>479</v>
      </c>
      <c r="M126" s="2">
        <v>33.770000000000003</v>
      </c>
      <c r="N126" s="176">
        <v>2.9908201694488525</v>
      </c>
      <c r="O126" s="178">
        <v>3.4350013732910156</v>
      </c>
      <c r="P126" s="310">
        <v>3.6422860622406006</v>
      </c>
      <c r="Q126" s="158">
        <v>41.241416931152344</v>
      </c>
      <c r="R126" s="2">
        <v>116</v>
      </c>
      <c r="S126" s="2">
        <v>0</v>
      </c>
      <c r="T126" s="34">
        <v>45674</v>
      </c>
      <c r="AF126" s="12">
        <v>0.13</v>
      </c>
      <c r="AG126" s="12">
        <v>6.9999999999999993E-2</v>
      </c>
      <c r="AH126" s="144">
        <v>4.2000000000000003E-2</v>
      </c>
    </row>
    <row r="127" spans="1:34" x14ac:dyDescent="0.3">
      <c r="A127" s="105">
        <v>102</v>
      </c>
      <c r="B127" s="2" t="s">
        <v>518</v>
      </c>
      <c r="C127" s="2">
        <v>44.05</v>
      </c>
      <c r="D127" s="179">
        <v>2.3155505657196045</v>
      </c>
      <c r="E127" s="176">
        <v>2.8830873966217041</v>
      </c>
      <c r="F127" s="308">
        <v>3.1328036785125732</v>
      </c>
      <c r="G127" s="172">
        <v>26.509841918945313</v>
      </c>
      <c r="H127" s="2">
        <v>127</v>
      </c>
      <c r="I127" s="2">
        <v>0</v>
      </c>
      <c r="J127" s="58">
        <v>45712</v>
      </c>
    </row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61" spans="1:34" x14ac:dyDescent="0.3">
      <c r="A261" s="105">
        <v>119</v>
      </c>
      <c r="B261" s="2" t="s">
        <v>421</v>
      </c>
      <c r="C261" s="82">
        <v>60.31</v>
      </c>
      <c r="D261" s="175">
        <v>1.973138689994812</v>
      </c>
      <c r="E261" s="176">
        <v>2.7524456977844238</v>
      </c>
      <c r="F261" s="176">
        <v>2.9348366260528564</v>
      </c>
      <c r="G261" s="158">
        <v>48.682662963867188</v>
      </c>
      <c r="H261" s="2">
        <v>166</v>
      </c>
      <c r="I261" s="2">
        <v>0</v>
      </c>
      <c r="J261" s="58">
        <v>45753</v>
      </c>
    </row>
    <row r="264" spans="1:34" x14ac:dyDescent="0.3">
      <c r="A264" s="105">
        <v>122</v>
      </c>
      <c r="B264" s="2" t="s">
        <v>421</v>
      </c>
      <c r="C264" s="171">
        <v>63.64</v>
      </c>
      <c r="D264" s="175">
        <v>1.917033314704895</v>
      </c>
      <c r="E264" s="177">
        <v>2.6398491859436035</v>
      </c>
      <c r="F264" s="176">
        <v>2.891263484954834</v>
      </c>
      <c r="G264" s="158">
        <v>45.552040100097656</v>
      </c>
      <c r="H264" s="2">
        <v>168</v>
      </c>
      <c r="I264" s="2">
        <v>0</v>
      </c>
      <c r="J264" s="58">
        <v>45775</v>
      </c>
    </row>
    <row r="265" spans="1:34" x14ac:dyDescent="0.3">
      <c r="A265" s="105">
        <v>123</v>
      </c>
      <c r="B265" s="2" t="s">
        <v>404</v>
      </c>
      <c r="C265" s="16">
        <v>58.97</v>
      </c>
      <c r="D265" s="185">
        <v>2.0858063697814941</v>
      </c>
      <c r="E265" s="177">
        <v>2.6623706817626953</v>
      </c>
      <c r="F265" s="176">
        <v>2.8489062786102295</v>
      </c>
      <c r="G265" s="157">
        <v>52.278297424316406</v>
      </c>
      <c r="H265" s="2">
        <v>157</v>
      </c>
      <c r="I265" s="2">
        <v>0</v>
      </c>
      <c r="J265" s="58">
        <v>45775</v>
      </c>
    </row>
    <row r="267" spans="1:34" x14ac:dyDescent="0.3">
      <c r="D267" s="174"/>
      <c r="E267" s="174"/>
      <c r="F267" s="174"/>
      <c r="G267" s="186"/>
    </row>
    <row r="268" spans="1:34" x14ac:dyDescent="0.3">
      <c r="C268" s="88"/>
      <c r="D268" s="175"/>
      <c r="E268" s="175"/>
      <c r="F268" s="175"/>
      <c r="G268" s="172"/>
    </row>
    <row r="269" spans="1:34" x14ac:dyDescent="0.3">
      <c r="A269" s="105">
        <v>127</v>
      </c>
      <c r="B269" s="2" t="s">
        <v>421</v>
      </c>
      <c r="C269" s="84">
        <v>65.77</v>
      </c>
      <c r="D269" s="175">
        <v>1.930971622467041</v>
      </c>
      <c r="E269" s="177">
        <v>2.6303787231445313</v>
      </c>
      <c r="F269" s="308">
        <v>3.0104913711547852</v>
      </c>
      <c r="G269" s="158">
        <v>44.837944030761719</v>
      </c>
      <c r="H269" s="2">
        <v>173</v>
      </c>
      <c r="I269" s="2">
        <v>0</v>
      </c>
      <c r="J269" s="58">
        <v>45704</v>
      </c>
    </row>
    <row r="270" spans="1:34" x14ac:dyDescent="0.3">
      <c r="A270" s="105">
        <v>128</v>
      </c>
      <c r="B270" s="2" t="s">
        <v>407</v>
      </c>
      <c r="C270" s="16">
        <v>59.12</v>
      </c>
      <c r="D270" s="185">
        <v>2.1650879383087158</v>
      </c>
      <c r="E270" s="176">
        <v>2.7909338474273682</v>
      </c>
      <c r="F270" s="176">
        <v>2.9769959449768066</v>
      </c>
      <c r="G270" s="157">
        <v>54.168987274169922</v>
      </c>
      <c r="H270" s="2">
        <v>165</v>
      </c>
      <c r="I270" s="2">
        <v>0</v>
      </c>
      <c r="J270" s="58">
        <v>45750</v>
      </c>
      <c r="K270" s="105">
        <v>128</v>
      </c>
      <c r="L270" s="2" t="s">
        <v>458</v>
      </c>
      <c r="M270" s="171">
        <v>63.26</v>
      </c>
      <c r="N270" s="185">
        <v>2.0233955383300781</v>
      </c>
      <c r="O270" s="179">
        <v>2.4660134315490723</v>
      </c>
      <c r="P270" s="177">
        <v>2.6398990154266357</v>
      </c>
      <c r="Q270" s="158">
        <v>48.281375885009766</v>
      </c>
      <c r="R270" s="2">
        <v>156</v>
      </c>
      <c r="S270" s="2">
        <v>0</v>
      </c>
      <c r="T270" s="34">
        <v>45772</v>
      </c>
      <c r="AF270" s="12">
        <v>0.14000000000000001</v>
      </c>
      <c r="AG270" s="12">
        <v>0.16</v>
      </c>
      <c r="AH270" s="144">
        <v>7.0000000000000007E-2</v>
      </c>
    </row>
    <row r="273" spans="1:34" x14ac:dyDescent="0.3">
      <c r="A273" s="105">
        <v>131</v>
      </c>
      <c r="B273" s="2" t="s">
        <v>519</v>
      </c>
      <c r="C273" s="171">
        <v>63.46</v>
      </c>
      <c r="D273" s="185">
        <v>2.0642924308776855</v>
      </c>
      <c r="E273" s="177">
        <v>2.6788527965545654</v>
      </c>
      <c r="F273" s="176">
        <v>2.9467382431030273</v>
      </c>
      <c r="G273" s="158">
        <v>49.148521423339844</v>
      </c>
      <c r="H273" s="2">
        <v>170</v>
      </c>
      <c r="I273" s="2">
        <v>0</v>
      </c>
      <c r="J273" s="58">
        <v>45773</v>
      </c>
      <c r="K273" s="105">
        <v>131</v>
      </c>
      <c r="L273" s="2" t="s">
        <v>451</v>
      </c>
      <c r="M273" s="84">
        <v>65.37</v>
      </c>
      <c r="N273" s="185">
        <v>2.0039772987365723</v>
      </c>
      <c r="O273" s="177">
        <v>2.56998610496521</v>
      </c>
      <c r="P273" s="177">
        <v>2.7382590770721436</v>
      </c>
      <c r="Q273" s="158">
        <v>46.732295989990234</v>
      </c>
      <c r="R273" s="2">
        <v>168</v>
      </c>
      <c r="S273" s="2">
        <v>0</v>
      </c>
      <c r="T273" s="34">
        <v>45785</v>
      </c>
      <c r="AF273" s="12">
        <v>0.06</v>
      </c>
      <c r="AG273" s="12">
        <v>0.1</v>
      </c>
      <c r="AH273" s="144">
        <v>0.03</v>
      </c>
    </row>
    <row r="274" spans="1:34" x14ac:dyDescent="0.3">
      <c r="A274" s="105">
        <v>132</v>
      </c>
      <c r="B274" s="2" t="s">
        <v>520</v>
      </c>
      <c r="C274" s="86">
        <v>70.13</v>
      </c>
      <c r="D274" s="175">
        <v>1.8822188377380371</v>
      </c>
      <c r="E274" s="179">
        <v>2.4098105430603027</v>
      </c>
      <c r="F274" s="177">
        <v>2.5524027347564697</v>
      </c>
      <c r="G274" s="158">
        <v>41.785602569580078</v>
      </c>
      <c r="H274" s="2">
        <v>169</v>
      </c>
      <c r="I274" s="2">
        <v>0</v>
      </c>
      <c r="J274" s="58">
        <v>45715</v>
      </c>
      <c r="M274" s="168"/>
      <c r="N274" s="175"/>
      <c r="O274" s="175"/>
      <c r="P274" s="175"/>
      <c r="Q274" s="172"/>
    </row>
    <row r="276" spans="1:34" x14ac:dyDescent="0.3">
      <c r="A276" s="105">
        <v>134</v>
      </c>
      <c r="B276" s="2" t="s">
        <v>521</v>
      </c>
      <c r="C276" s="171">
        <v>64.790000000000006</v>
      </c>
      <c r="D276" s="185">
        <v>2.0682203769683838</v>
      </c>
      <c r="E276" s="177">
        <v>2.5929927825927734</v>
      </c>
      <c r="F276" s="176">
        <v>2.7627720832824707</v>
      </c>
      <c r="G276" s="158">
        <v>48.532257080078125</v>
      </c>
      <c r="H276" s="2">
        <v>168</v>
      </c>
      <c r="I276" s="2">
        <v>0</v>
      </c>
      <c r="J276" s="58">
        <v>45754</v>
      </c>
    </row>
    <row r="277" spans="1:34" x14ac:dyDescent="0.3">
      <c r="A277" s="105">
        <v>135</v>
      </c>
      <c r="B277" s="2" t="s">
        <v>437</v>
      </c>
      <c r="C277" s="84">
        <v>65.959999999999994</v>
      </c>
      <c r="D277" s="185">
        <v>2.0466949939727783</v>
      </c>
      <c r="E277" s="177">
        <v>2.6834444999694824</v>
      </c>
      <c r="F277" s="176">
        <v>2.8805336952209473</v>
      </c>
      <c r="G277" s="158">
        <v>47.429214477539063</v>
      </c>
      <c r="H277" s="2">
        <v>177</v>
      </c>
      <c r="I277" s="2">
        <v>0</v>
      </c>
      <c r="J277" s="58">
        <v>45745</v>
      </c>
      <c r="N277" s="174"/>
      <c r="O277" s="175"/>
      <c r="P277" s="175"/>
      <c r="Q277" s="186"/>
    </row>
    <row r="278" spans="1:34" x14ac:dyDescent="0.3">
      <c r="A278" s="105">
        <v>136</v>
      </c>
      <c r="B278" s="2" t="s">
        <v>519</v>
      </c>
      <c r="C278" s="84">
        <v>65.73</v>
      </c>
      <c r="D278" s="185">
        <v>2.0690703392028809</v>
      </c>
      <c r="E278" s="176">
        <v>2.7689030170440674</v>
      </c>
      <c r="F278" s="176">
        <v>2.9666817188262939</v>
      </c>
      <c r="G278" s="158">
        <v>48.065113067626953</v>
      </c>
      <c r="H278" s="2">
        <v>182</v>
      </c>
      <c r="I278" s="2">
        <v>0</v>
      </c>
      <c r="J278" s="58">
        <v>45801</v>
      </c>
      <c r="K278" s="105">
        <v>136</v>
      </c>
      <c r="L278" s="2" t="s">
        <v>522</v>
      </c>
      <c r="M278" s="85">
        <v>67.63</v>
      </c>
      <c r="N278" s="185">
        <v>2.0109419822692871</v>
      </c>
      <c r="O278" s="177">
        <v>2.5432500839233398</v>
      </c>
      <c r="P278" s="177">
        <v>2.6763272285461426</v>
      </c>
      <c r="Q278" s="158">
        <v>45.792171478271484</v>
      </c>
      <c r="R278" s="2">
        <v>172</v>
      </c>
      <c r="S278" s="2">
        <v>0</v>
      </c>
      <c r="T278" s="34">
        <v>45693</v>
      </c>
      <c r="AF278" s="12">
        <v>0.06</v>
      </c>
      <c r="AG278" s="12">
        <v>0.18000000000000002</v>
      </c>
      <c r="AH278" s="144">
        <v>2.9000000000000001E-2</v>
      </c>
    </row>
    <row r="279" spans="1:34" x14ac:dyDescent="0.3">
      <c r="A279" s="105">
        <v>137</v>
      </c>
      <c r="B279" s="2" t="s">
        <v>416</v>
      </c>
      <c r="C279" s="82">
        <v>60.09</v>
      </c>
      <c r="D279" s="179">
        <v>2.2799134254455566</v>
      </c>
      <c r="E279" s="176">
        <v>2.9289398193359375</v>
      </c>
      <c r="F279" s="308">
        <v>3.178565502166748</v>
      </c>
      <c r="G279" s="159">
        <v>56.395709991455078</v>
      </c>
      <c r="H279" s="2">
        <v>176</v>
      </c>
      <c r="I279" s="2">
        <v>0</v>
      </c>
      <c r="J279" s="58">
        <v>45761</v>
      </c>
      <c r="K279" s="105">
        <v>137</v>
      </c>
      <c r="L279" s="2" t="s">
        <v>432</v>
      </c>
      <c r="M279" s="82">
        <v>61.69</v>
      </c>
      <c r="N279" s="185">
        <v>2.2207813262939453</v>
      </c>
      <c r="O279" s="176">
        <v>2.8043444156646729</v>
      </c>
      <c r="P279" s="308">
        <v>3.0474956035614014</v>
      </c>
      <c r="Q279" s="157">
        <v>53.931777954101563</v>
      </c>
      <c r="R279" s="2">
        <v>173</v>
      </c>
      <c r="S279" s="2">
        <v>0</v>
      </c>
      <c r="T279" s="34">
        <v>45794</v>
      </c>
      <c r="AF279" s="12">
        <v>0.06</v>
      </c>
      <c r="AG279" s="12">
        <v>0.2</v>
      </c>
      <c r="AH279" s="144">
        <v>2.7E-2</v>
      </c>
    </row>
    <row r="280" spans="1:34" x14ac:dyDescent="0.3">
      <c r="A280" s="105">
        <v>138</v>
      </c>
      <c r="B280" s="2" t="s">
        <v>449</v>
      </c>
      <c r="C280" s="171">
        <v>62.79</v>
      </c>
      <c r="D280" s="185">
        <v>2.1978020668029785</v>
      </c>
      <c r="E280" s="176">
        <v>2.8985507488250732</v>
      </c>
      <c r="F280" s="308">
        <v>3.1374421119689941</v>
      </c>
      <c r="G280" s="157">
        <v>52.717460632324219</v>
      </c>
      <c r="H280" s="2">
        <v>182</v>
      </c>
      <c r="I280" s="2">
        <v>0</v>
      </c>
      <c r="J280" s="58">
        <v>45767</v>
      </c>
      <c r="K280" s="105">
        <v>138</v>
      </c>
      <c r="L280" s="2" t="s">
        <v>490</v>
      </c>
      <c r="M280" s="85">
        <v>68.05</v>
      </c>
      <c r="N280" s="185">
        <v>2.0279204845428467</v>
      </c>
      <c r="O280" s="179">
        <v>2.4540777206420898</v>
      </c>
      <c r="P280" s="177">
        <v>2.6157236099243164</v>
      </c>
      <c r="Q280" s="158">
        <v>45.979103088378906</v>
      </c>
      <c r="R280" s="2">
        <v>167</v>
      </c>
      <c r="S280" s="2">
        <v>0</v>
      </c>
      <c r="T280" s="34">
        <v>45695</v>
      </c>
      <c r="AF280" s="12">
        <v>0.17</v>
      </c>
      <c r="AG280" s="12">
        <v>0.64</v>
      </c>
      <c r="AH280" s="144">
        <v>8.4000000000000005E-2</v>
      </c>
    </row>
    <row r="281" spans="1:34" x14ac:dyDescent="0.3">
      <c r="A281" s="105">
        <v>139</v>
      </c>
      <c r="B281" s="2" t="s">
        <v>441</v>
      </c>
      <c r="C281" s="82">
        <v>62.07</v>
      </c>
      <c r="D281" s="185">
        <v>2.2394070625305176</v>
      </c>
      <c r="E281" s="176">
        <v>2.8193974494934082</v>
      </c>
      <c r="F281" s="308">
        <v>3.0288383960723877</v>
      </c>
      <c r="G281" s="157">
        <v>54.150829315185547</v>
      </c>
      <c r="H281" s="2">
        <v>175</v>
      </c>
      <c r="I281" s="2">
        <v>0</v>
      </c>
      <c r="J281" s="58">
        <v>45754</v>
      </c>
      <c r="K281" s="105">
        <v>139</v>
      </c>
      <c r="L281" s="2" t="s">
        <v>523</v>
      </c>
      <c r="M281" s="171">
        <v>64.48</v>
      </c>
      <c r="N281" s="185">
        <v>2.1557071208953857</v>
      </c>
      <c r="O281" s="177">
        <v>2.6209676265716553</v>
      </c>
      <c r="P281" s="176">
        <v>2.8691065311431885</v>
      </c>
      <c r="Q281" s="157">
        <v>50.75531005859375</v>
      </c>
      <c r="R281" s="2">
        <v>169</v>
      </c>
      <c r="S281" s="2">
        <v>0</v>
      </c>
      <c r="T281" s="34">
        <v>45753</v>
      </c>
      <c r="U281" s="105">
        <v>139</v>
      </c>
      <c r="V281" s="2" t="s">
        <v>524</v>
      </c>
      <c r="W281" s="84">
        <v>66.849999999999994</v>
      </c>
      <c r="X281" s="185">
        <v>2.0792820453643799</v>
      </c>
      <c r="Y281" s="179">
        <v>2.3784592151641846</v>
      </c>
      <c r="Z281" s="179">
        <v>2.4981300830841064</v>
      </c>
      <c r="AA281" s="158">
        <v>47.734420776367188</v>
      </c>
      <c r="AB281" s="2">
        <v>159</v>
      </c>
      <c r="AC281" s="2">
        <v>0</v>
      </c>
      <c r="AD281" s="34">
        <v>45722</v>
      </c>
      <c r="AF281" s="12">
        <v>0.08</v>
      </c>
      <c r="AG281" s="12">
        <v>0.35</v>
      </c>
      <c r="AH281" s="144">
        <v>3.9E-2</v>
      </c>
    </row>
    <row r="282" spans="1:34" x14ac:dyDescent="0.3">
      <c r="A282" s="105">
        <v>140</v>
      </c>
      <c r="B282" s="2" t="s">
        <v>411</v>
      </c>
      <c r="C282" s="16">
        <v>59.44</v>
      </c>
      <c r="D282" s="179">
        <v>2.3553164005279541</v>
      </c>
      <c r="E282" s="176">
        <v>2.9609692096710205</v>
      </c>
      <c r="F282" s="308">
        <v>3.1965007781982422</v>
      </c>
      <c r="G282" s="159">
        <v>58.70611572265625</v>
      </c>
      <c r="H282" s="2">
        <v>176</v>
      </c>
      <c r="I282" s="2">
        <v>0</v>
      </c>
      <c r="J282" s="58">
        <v>45767</v>
      </c>
      <c r="K282" s="105">
        <v>140</v>
      </c>
      <c r="L282" s="2" t="s">
        <v>424</v>
      </c>
      <c r="M282" s="84">
        <v>66.09</v>
      </c>
      <c r="N282" s="185">
        <v>2.1183235645294189</v>
      </c>
      <c r="O282" s="176">
        <v>2.8899986743927002</v>
      </c>
      <c r="P282" s="308">
        <v>3.0564384460449219</v>
      </c>
      <c r="Q282" s="158">
        <v>49.021495819091797</v>
      </c>
      <c r="R282" s="2">
        <v>191</v>
      </c>
      <c r="S282" s="2">
        <v>0</v>
      </c>
      <c r="T282" s="34">
        <v>45708</v>
      </c>
      <c r="U282" s="105">
        <v>140</v>
      </c>
      <c r="V282" s="2" t="s">
        <v>428</v>
      </c>
      <c r="W282" s="85">
        <v>69.73</v>
      </c>
      <c r="X282" s="185">
        <v>2.0077440738677979</v>
      </c>
      <c r="Y282" s="179">
        <v>2.4809980392456055</v>
      </c>
      <c r="Z282" s="177">
        <v>2.6674313545227051</v>
      </c>
      <c r="AA282" s="158">
        <v>44.751110076904297</v>
      </c>
      <c r="AB282" s="2">
        <v>173</v>
      </c>
      <c r="AC282" s="2">
        <v>0</v>
      </c>
      <c r="AD282" s="34">
        <v>45674</v>
      </c>
      <c r="AF282" s="12">
        <v>0.24</v>
      </c>
      <c r="AG282" s="12">
        <v>1.0900000000000001</v>
      </c>
      <c r="AH282" s="144">
        <v>0.112</v>
      </c>
    </row>
    <row r="283" spans="1:34" x14ac:dyDescent="0.3">
      <c r="A283" s="105">
        <v>141</v>
      </c>
      <c r="B283" s="2" t="s">
        <v>525</v>
      </c>
      <c r="C283" s="85">
        <v>68.13</v>
      </c>
      <c r="D283" s="185">
        <v>2.069572925567627</v>
      </c>
      <c r="E283" s="177">
        <v>2.6420080661773682</v>
      </c>
      <c r="F283" s="176">
        <v>2.920886754989624</v>
      </c>
      <c r="G283" s="158">
        <v>46.884918212890625</v>
      </c>
      <c r="H283" s="2">
        <v>180</v>
      </c>
      <c r="I283" s="2">
        <v>0</v>
      </c>
      <c r="J283" s="58">
        <v>45752</v>
      </c>
    </row>
    <row r="284" spans="1:34" x14ac:dyDescent="0.3">
      <c r="A284" s="105">
        <v>142</v>
      </c>
      <c r="B284" s="2" t="s">
        <v>448</v>
      </c>
      <c r="C284" s="86">
        <v>70.27</v>
      </c>
      <c r="D284" s="185">
        <v>2.0207769870758057</v>
      </c>
      <c r="E284" s="179">
        <v>2.476163387298584</v>
      </c>
      <c r="F284" s="177">
        <v>2.6611642837524414</v>
      </c>
      <c r="G284" s="158">
        <v>44.799037933349609</v>
      </c>
      <c r="H284" s="2">
        <v>174</v>
      </c>
      <c r="I284" s="2">
        <v>0</v>
      </c>
      <c r="J284" s="58">
        <v>45732</v>
      </c>
      <c r="K284" s="105">
        <v>142</v>
      </c>
      <c r="L284" s="2" t="s">
        <v>526</v>
      </c>
      <c r="M284" s="87">
        <v>79.06</v>
      </c>
      <c r="N284" s="175">
        <v>1.7961043119430542</v>
      </c>
      <c r="O284" s="179">
        <v>2.4917783737182617</v>
      </c>
      <c r="P284" s="177">
        <v>2.7321023941040039</v>
      </c>
      <c r="Q284" s="172">
        <v>36.664947509765625</v>
      </c>
      <c r="R284" s="2">
        <v>197</v>
      </c>
      <c r="S284" s="2">
        <v>0</v>
      </c>
      <c r="T284" s="34">
        <v>45754</v>
      </c>
      <c r="AF284" s="12">
        <v>0.22</v>
      </c>
      <c r="AG284" s="12">
        <v>1.25</v>
      </c>
      <c r="AH284" s="144">
        <v>0.125</v>
      </c>
    </row>
    <row r="285" spans="1:34" x14ac:dyDescent="0.3">
      <c r="A285" s="105">
        <v>143</v>
      </c>
      <c r="B285" s="2" t="s">
        <v>396</v>
      </c>
      <c r="C285" s="16">
        <v>57.69</v>
      </c>
      <c r="D285" s="179">
        <v>2.4787659645080566</v>
      </c>
      <c r="E285" s="308">
        <v>3.0161206722259521</v>
      </c>
      <c r="F285" s="178">
        <v>3.2761311531066895</v>
      </c>
      <c r="G285" s="166">
        <v>63.089107513427734</v>
      </c>
      <c r="H285" s="2">
        <v>174</v>
      </c>
      <c r="I285" s="2">
        <v>0</v>
      </c>
      <c r="J285" s="58">
        <v>45763</v>
      </c>
      <c r="K285" s="105">
        <v>143</v>
      </c>
      <c r="L285" s="2" t="s">
        <v>527</v>
      </c>
      <c r="M285" s="84">
        <v>65.47</v>
      </c>
      <c r="N285" s="185">
        <v>2.184206485748291</v>
      </c>
      <c r="O285" s="176">
        <v>2.7951734066009521</v>
      </c>
      <c r="P285" s="308">
        <v>3.0090117454528809</v>
      </c>
      <c r="Q285" s="157">
        <v>50.880725860595703</v>
      </c>
      <c r="R285" s="2">
        <v>183</v>
      </c>
      <c r="S285" s="2">
        <v>0</v>
      </c>
      <c r="T285" s="34">
        <v>45792</v>
      </c>
      <c r="U285" s="105">
        <v>143</v>
      </c>
      <c r="V285" s="2" t="s">
        <v>528</v>
      </c>
      <c r="W285" s="86">
        <v>70.430000000000007</v>
      </c>
      <c r="X285" s="185">
        <v>2.0303847789764404</v>
      </c>
      <c r="Y285" s="177">
        <v>2.69771409034729</v>
      </c>
      <c r="Z285" s="176">
        <v>2.910691499710083</v>
      </c>
      <c r="AA285" s="158">
        <v>44.9404296875</v>
      </c>
      <c r="AB285" s="2">
        <v>190</v>
      </c>
      <c r="AC285" s="2">
        <v>0</v>
      </c>
      <c r="AD285" s="34">
        <v>45731</v>
      </c>
      <c r="AF285" s="12">
        <v>0.28999999999999998</v>
      </c>
      <c r="AG285" s="12">
        <v>1.79</v>
      </c>
      <c r="AH285" s="144">
        <v>0.13500000000000001</v>
      </c>
    </row>
    <row r="286" spans="1:34" x14ac:dyDescent="0.3">
      <c r="A286" s="105">
        <v>144</v>
      </c>
      <c r="B286" s="2" t="s">
        <v>393</v>
      </c>
      <c r="C286" s="171">
        <v>62.78</v>
      </c>
      <c r="D286" s="179">
        <v>2.2937240600585938</v>
      </c>
      <c r="E286" s="177">
        <v>2.7397260665893555</v>
      </c>
      <c r="F286" s="176">
        <v>2.899012565612793</v>
      </c>
      <c r="G286" s="157">
        <v>55.024429321289063</v>
      </c>
      <c r="H286" s="2">
        <v>172</v>
      </c>
      <c r="I286" s="2">
        <v>0</v>
      </c>
      <c r="J286" s="58">
        <v>45769</v>
      </c>
      <c r="K286" s="105">
        <v>144</v>
      </c>
      <c r="L286" s="2" t="s">
        <v>529</v>
      </c>
      <c r="M286" s="171">
        <v>64.290000000000006</v>
      </c>
      <c r="N286" s="185">
        <v>2.2398507595062256</v>
      </c>
      <c r="O286" s="176">
        <v>2.8464767932891846</v>
      </c>
      <c r="P286" s="308">
        <v>3.0020220279693604</v>
      </c>
      <c r="Q286" s="157">
        <v>52.845489501953125</v>
      </c>
      <c r="R286" s="2">
        <v>183</v>
      </c>
      <c r="S286" s="2">
        <v>0</v>
      </c>
      <c r="T286" s="34">
        <v>45805</v>
      </c>
      <c r="U286" s="105">
        <v>144</v>
      </c>
      <c r="V286" s="2" t="s">
        <v>451</v>
      </c>
      <c r="W286" s="84">
        <v>65.150000000000006</v>
      </c>
      <c r="X286" s="185">
        <v>2.2102839946746826</v>
      </c>
      <c r="Y286" s="177">
        <v>2.6707596778869629</v>
      </c>
      <c r="Z286" s="176">
        <v>2.8396008014678955</v>
      </c>
      <c r="AA286" s="157">
        <v>51.665096282958984</v>
      </c>
      <c r="AB286" s="2">
        <v>174</v>
      </c>
      <c r="AC286" s="2">
        <v>0</v>
      </c>
      <c r="AD286" s="34">
        <v>45753</v>
      </c>
      <c r="AF286" s="12">
        <v>0.05</v>
      </c>
      <c r="AG286" s="12">
        <v>0.36000000000000004</v>
      </c>
      <c r="AH286" s="144">
        <v>2.4E-2</v>
      </c>
    </row>
    <row r="287" spans="1:34" x14ac:dyDescent="0.3">
      <c r="A287" s="105">
        <v>145</v>
      </c>
      <c r="B287" s="2" t="s">
        <v>429</v>
      </c>
      <c r="C287" s="82">
        <v>62.35</v>
      </c>
      <c r="D287" s="179">
        <v>2.3255815505981445</v>
      </c>
      <c r="E287" s="176">
        <v>2.9671211242675781</v>
      </c>
      <c r="F287" s="308">
        <v>3.1595830917358398</v>
      </c>
      <c r="G287" s="157">
        <v>56.057701110839844</v>
      </c>
      <c r="H287" s="2">
        <v>185</v>
      </c>
      <c r="I287" s="2">
        <v>0</v>
      </c>
      <c r="J287" s="58">
        <v>45774</v>
      </c>
      <c r="K287" s="105">
        <v>145</v>
      </c>
      <c r="L287" s="2" t="s">
        <v>457</v>
      </c>
      <c r="M287" s="171">
        <v>63.11</v>
      </c>
      <c r="N287" s="179">
        <v>2.2975757122039795</v>
      </c>
      <c r="O287" s="176">
        <v>2.8680081367492676</v>
      </c>
      <c r="P287" s="308">
        <v>3.0898430347442627</v>
      </c>
      <c r="Q287" s="157">
        <v>54.9149169921875</v>
      </c>
      <c r="R287" s="2">
        <v>181</v>
      </c>
      <c r="S287" s="2">
        <v>0</v>
      </c>
      <c r="T287" s="34">
        <v>45791</v>
      </c>
      <c r="U287" s="105">
        <v>145</v>
      </c>
      <c r="V287" s="2" t="s">
        <v>523</v>
      </c>
      <c r="W287" s="171">
        <v>64.56</v>
      </c>
      <c r="X287" s="185">
        <v>2.2459728717803955</v>
      </c>
      <c r="Y287" s="177">
        <v>2.7106568813323975</v>
      </c>
      <c r="Z287" s="176">
        <v>2.8500621318817139</v>
      </c>
      <c r="AA287" s="157">
        <v>52.834705352783203</v>
      </c>
      <c r="AB287" s="2">
        <v>175</v>
      </c>
      <c r="AC287" s="2">
        <v>0</v>
      </c>
      <c r="AD287" s="34">
        <v>45791</v>
      </c>
      <c r="AF287" s="12">
        <v>0.03</v>
      </c>
      <c r="AG287" s="12">
        <v>0.2</v>
      </c>
      <c r="AH287" s="144">
        <v>1.2E-2</v>
      </c>
    </row>
    <row r="288" spans="1:34" x14ac:dyDescent="0.3">
      <c r="A288" s="105">
        <v>146</v>
      </c>
      <c r="B288" s="2" t="s">
        <v>428</v>
      </c>
      <c r="C288" s="82">
        <v>61.59</v>
      </c>
      <c r="D288" s="179">
        <v>2.3705146312713623</v>
      </c>
      <c r="E288" s="176">
        <v>2.9225523471832275</v>
      </c>
      <c r="F288" s="308">
        <v>3.1173892021179199</v>
      </c>
      <c r="G288" s="159">
        <v>57.633468627929688</v>
      </c>
      <c r="H288" s="2">
        <v>180</v>
      </c>
      <c r="I288" s="2">
        <v>0</v>
      </c>
      <c r="J288" s="58">
        <v>45808</v>
      </c>
      <c r="K288" s="105">
        <v>146</v>
      </c>
      <c r="L288" s="2" t="s">
        <v>530</v>
      </c>
      <c r="M288" s="84">
        <v>67.19</v>
      </c>
      <c r="N288" s="185">
        <v>2.1729423999786377</v>
      </c>
      <c r="O288" s="177">
        <v>2.7385027408599854</v>
      </c>
      <c r="P288" s="176">
        <v>2.9617502689361572</v>
      </c>
      <c r="Q288" s="158">
        <v>49.707763671875</v>
      </c>
      <c r="R288" s="2">
        <v>184</v>
      </c>
      <c r="S288" s="2">
        <v>0</v>
      </c>
      <c r="T288" s="34">
        <v>45692</v>
      </c>
      <c r="U288" s="105">
        <v>146</v>
      </c>
      <c r="V288" s="2" t="s">
        <v>429</v>
      </c>
      <c r="W288" s="85">
        <v>68.819999999999993</v>
      </c>
      <c r="X288" s="185">
        <v>2.121476411819458</v>
      </c>
      <c r="Y288" s="177">
        <v>2.717233419418335</v>
      </c>
      <c r="Z288" s="176">
        <v>2.8916013240814209</v>
      </c>
      <c r="AA288" s="158">
        <v>47.722938537597656</v>
      </c>
      <c r="AB288" s="2">
        <v>187</v>
      </c>
      <c r="AC288" s="2">
        <v>0</v>
      </c>
      <c r="AD288" s="34">
        <v>45701</v>
      </c>
      <c r="AF288" s="12">
        <v>0.2</v>
      </c>
      <c r="AG288" s="12">
        <v>1.5399999999999998</v>
      </c>
      <c r="AH288" s="144">
        <v>9.0999999999999998E-2</v>
      </c>
    </row>
    <row r="289" spans="1:34" x14ac:dyDescent="0.3">
      <c r="A289" s="105">
        <v>147</v>
      </c>
      <c r="B289" s="2" t="s">
        <v>402</v>
      </c>
      <c r="C289" s="16">
        <v>58.92</v>
      </c>
      <c r="D289" s="179">
        <v>2.494908332824707</v>
      </c>
      <c r="E289" s="176">
        <v>2.9531569480895996</v>
      </c>
      <c r="F289" s="308">
        <v>3.1907672882080078</v>
      </c>
      <c r="G289" s="166">
        <v>62.569110870361328</v>
      </c>
      <c r="H289" s="2">
        <v>174</v>
      </c>
      <c r="I289" s="2">
        <v>0</v>
      </c>
      <c r="J289" s="58">
        <v>45761</v>
      </c>
      <c r="K289" s="105">
        <v>147</v>
      </c>
      <c r="L289" s="2" t="s">
        <v>451</v>
      </c>
      <c r="M289" s="171">
        <v>62.95</v>
      </c>
      <c r="N289" s="179">
        <v>2.3351867198944092</v>
      </c>
      <c r="O289" s="176">
        <v>2.8911833763122559</v>
      </c>
      <c r="P289" s="308">
        <v>3.034153938293457</v>
      </c>
      <c r="Q289" s="157">
        <v>55.913131713867188</v>
      </c>
      <c r="R289" s="2">
        <v>182</v>
      </c>
      <c r="S289" s="2">
        <v>0</v>
      </c>
      <c r="T289" s="34">
        <v>45778</v>
      </c>
      <c r="U289" s="105">
        <v>147</v>
      </c>
      <c r="V289" s="2" t="s">
        <v>455</v>
      </c>
      <c r="W289" s="84">
        <v>65.08</v>
      </c>
      <c r="X289" s="179">
        <v>2.2587583065032959</v>
      </c>
      <c r="Y289" s="176">
        <v>2.7658267021179199</v>
      </c>
      <c r="Z289" s="176">
        <v>2.9502151012420654</v>
      </c>
      <c r="AA289" s="157">
        <v>52.837924957275391</v>
      </c>
      <c r="AB289" s="2">
        <v>180</v>
      </c>
      <c r="AC289" s="2">
        <v>0</v>
      </c>
      <c r="AD289" s="34">
        <v>45745</v>
      </c>
      <c r="AF289" s="12">
        <v>0.16</v>
      </c>
      <c r="AG289" s="12">
        <v>1.34</v>
      </c>
      <c r="AH289" s="144">
        <v>6.8000000000000005E-2</v>
      </c>
    </row>
    <row r="290" spans="1:34" x14ac:dyDescent="0.3">
      <c r="A290" s="105">
        <v>148</v>
      </c>
      <c r="B290" s="2" t="s">
        <v>393</v>
      </c>
      <c r="C290" s="15">
        <v>54.74</v>
      </c>
      <c r="D290" s="177">
        <v>2.7036900520324707</v>
      </c>
      <c r="E290" s="308">
        <v>3.2334671020507813</v>
      </c>
      <c r="F290" s="178">
        <v>3.4709534645080566</v>
      </c>
      <c r="G290" s="163">
        <v>71.389244079589844</v>
      </c>
      <c r="H290" s="2">
        <v>177</v>
      </c>
      <c r="I290" s="2">
        <v>0</v>
      </c>
      <c r="J290" s="58">
        <v>45801</v>
      </c>
      <c r="K290" s="105">
        <v>148</v>
      </c>
      <c r="L290" s="2" t="s">
        <v>424</v>
      </c>
      <c r="M290" s="82">
        <v>61.2</v>
      </c>
      <c r="N290" s="179">
        <v>2.4183006286621094</v>
      </c>
      <c r="O290" s="308">
        <v>3.0882351398468018</v>
      </c>
      <c r="P290" s="178">
        <v>3.3660130500793457</v>
      </c>
      <c r="Q290" s="159">
        <v>59.057296752929688</v>
      </c>
      <c r="R290" s="2">
        <v>189</v>
      </c>
      <c r="S290" s="2">
        <v>0</v>
      </c>
      <c r="T290" s="34">
        <v>45785</v>
      </c>
      <c r="U290" s="105">
        <v>148</v>
      </c>
      <c r="V290" s="2" t="s">
        <v>414</v>
      </c>
      <c r="W290" s="171">
        <v>62.98</v>
      </c>
      <c r="X290" s="179">
        <v>2.3499524593353271</v>
      </c>
      <c r="Y290" s="176">
        <v>2.9215624332427979</v>
      </c>
      <c r="Z290" s="308">
        <v>3.0803430080413818</v>
      </c>
      <c r="AA290" s="157">
        <v>56.247920989990234</v>
      </c>
      <c r="AB290" s="2">
        <v>184</v>
      </c>
      <c r="AC290" s="2">
        <v>0</v>
      </c>
      <c r="AD290" s="34">
        <v>45786</v>
      </c>
      <c r="AF290" s="12">
        <v>0.28999999999999998</v>
      </c>
      <c r="AG290" s="12">
        <v>2.5799999999999996</v>
      </c>
      <c r="AH290" s="144">
        <v>0.11799999999999999</v>
      </c>
    </row>
    <row r="291" spans="1:34" x14ac:dyDescent="0.3">
      <c r="A291" s="105">
        <v>149</v>
      </c>
      <c r="B291" s="2" t="s">
        <v>418</v>
      </c>
      <c r="C291" s="82">
        <v>61.12</v>
      </c>
      <c r="D291" s="179">
        <v>2.4378273487091064</v>
      </c>
      <c r="E291" s="308">
        <v>3.0268325805664063</v>
      </c>
      <c r="F291" s="308">
        <v>3.2231676578521729</v>
      </c>
      <c r="G291" s="159">
        <v>59.588691711425781</v>
      </c>
      <c r="H291" s="2">
        <v>185</v>
      </c>
      <c r="I291" s="2">
        <v>0</v>
      </c>
      <c r="J291" s="58">
        <v>45768</v>
      </c>
      <c r="K291" s="105">
        <v>149</v>
      </c>
      <c r="L291" s="2" t="s">
        <v>421</v>
      </c>
      <c r="M291" s="171">
        <v>64.17</v>
      </c>
      <c r="N291" s="179">
        <v>2.3219573497772217</v>
      </c>
      <c r="O291" s="176">
        <v>2.9920525550842285</v>
      </c>
      <c r="P291" s="178">
        <v>3.272557258605957</v>
      </c>
      <c r="Q291" s="157">
        <v>54.854351043701172</v>
      </c>
      <c r="R291" s="2">
        <v>192</v>
      </c>
      <c r="S291" s="2">
        <v>0</v>
      </c>
      <c r="T291" s="34">
        <v>45809</v>
      </c>
      <c r="U291" s="105">
        <v>149</v>
      </c>
      <c r="V291" s="2" t="s">
        <v>451</v>
      </c>
      <c r="W291" s="85">
        <v>69.540000000000006</v>
      </c>
      <c r="X291" s="185">
        <v>2.1426517963409424</v>
      </c>
      <c r="Y291" s="177">
        <v>2.66033935546875</v>
      </c>
      <c r="Z291" s="176">
        <v>2.8185217380523682</v>
      </c>
      <c r="AA291" s="158">
        <v>47.849407196044922</v>
      </c>
      <c r="AB291" s="2">
        <v>185</v>
      </c>
      <c r="AC291" s="2">
        <v>0</v>
      </c>
      <c r="AD291" s="34">
        <v>45757</v>
      </c>
      <c r="AF291" s="12">
        <v>0.12</v>
      </c>
      <c r="AG291" s="12">
        <v>1.1199999999999999</v>
      </c>
      <c r="AH291" s="144">
        <v>0.05</v>
      </c>
    </row>
    <row r="292" spans="1:34" x14ac:dyDescent="0.3">
      <c r="A292" s="105">
        <v>150</v>
      </c>
      <c r="B292" s="2" t="s">
        <v>531</v>
      </c>
      <c r="C292" s="171">
        <v>64.05</v>
      </c>
      <c r="D292" s="179">
        <v>2.3419203758239746</v>
      </c>
      <c r="E292" s="176">
        <v>2.9352066516876221</v>
      </c>
      <c r="F292" s="308">
        <v>3.1537859439849854</v>
      </c>
      <c r="G292" s="157">
        <v>55.398494720458984</v>
      </c>
      <c r="H292" s="2">
        <v>188</v>
      </c>
      <c r="I292" s="2">
        <v>0</v>
      </c>
      <c r="J292" s="58">
        <v>45808</v>
      </c>
      <c r="K292" s="105">
        <v>150</v>
      </c>
      <c r="L292" s="2" t="s">
        <v>448</v>
      </c>
      <c r="M292" s="84">
        <v>65.59</v>
      </c>
      <c r="N292" s="179">
        <v>2.2869341373443604</v>
      </c>
      <c r="O292" s="176">
        <v>2.7748134136199951</v>
      </c>
      <c r="P292" s="176">
        <v>2.9730143547058105</v>
      </c>
      <c r="Q292" s="157">
        <v>53.205509185791016</v>
      </c>
      <c r="R292" s="2">
        <v>182</v>
      </c>
      <c r="S292" s="2">
        <v>0</v>
      </c>
      <c r="T292" s="34">
        <v>45704</v>
      </c>
      <c r="U292" s="105">
        <v>150</v>
      </c>
      <c r="V292" s="2" t="s">
        <v>532</v>
      </c>
      <c r="W292" s="85">
        <v>69.989999999999995</v>
      </c>
      <c r="X292" s="185">
        <v>2.1431634426116943</v>
      </c>
      <c r="Y292" s="177">
        <v>2.7146735191345215</v>
      </c>
      <c r="Z292" s="176">
        <v>2.9004144668579102</v>
      </c>
      <c r="AA292" s="158">
        <v>47.645221710205078</v>
      </c>
      <c r="AB292" s="2">
        <v>190</v>
      </c>
      <c r="AC292" s="2">
        <v>0</v>
      </c>
      <c r="AD292" s="34">
        <v>45729</v>
      </c>
      <c r="AF292" s="12">
        <v>0.05</v>
      </c>
      <c r="AG292" s="12">
        <v>0.56999999999999995</v>
      </c>
      <c r="AH292" s="144">
        <v>2.4E-2</v>
      </c>
    </row>
    <row r="293" spans="1:34" x14ac:dyDescent="0.3">
      <c r="A293" s="105">
        <v>151</v>
      </c>
      <c r="B293" s="2" t="s">
        <v>533</v>
      </c>
      <c r="C293" s="84">
        <v>65.33</v>
      </c>
      <c r="D293" s="179">
        <v>2.3113422393798828</v>
      </c>
      <c r="E293" s="176">
        <v>2.9848461151123047</v>
      </c>
      <c r="F293" s="308">
        <v>3.1838357448577881</v>
      </c>
      <c r="G293" s="157">
        <v>53.923076629638672</v>
      </c>
      <c r="H293" s="2">
        <v>195</v>
      </c>
      <c r="I293" s="2">
        <v>0</v>
      </c>
      <c r="J293" s="58">
        <v>45772</v>
      </c>
      <c r="K293" s="105">
        <v>151</v>
      </c>
      <c r="L293" s="2" t="s">
        <v>469</v>
      </c>
      <c r="M293" s="84">
        <v>65.59</v>
      </c>
      <c r="N293" s="179">
        <v>2.302180290222168</v>
      </c>
      <c r="O293" s="177">
        <v>2.7443208694458008</v>
      </c>
      <c r="P293" s="176">
        <v>2.8815369606018066</v>
      </c>
      <c r="Q293" s="157">
        <v>53.560214996337891</v>
      </c>
      <c r="R293" s="2">
        <v>180</v>
      </c>
      <c r="S293" s="2">
        <v>0</v>
      </c>
      <c r="T293" s="34">
        <v>45773</v>
      </c>
      <c r="U293" s="105">
        <v>151</v>
      </c>
      <c r="V293" s="2" t="s">
        <v>534</v>
      </c>
      <c r="W293" s="84">
        <v>65.61</v>
      </c>
      <c r="X293" s="179">
        <v>2.301478385925293</v>
      </c>
      <c r="Y293" s="176">
        <v>2.8349337577819824</v>
      </c>
      <c r="Z293" s="308">
        <v>3.1092820167541504</v>
      </c>
      <c r="AA293" s="157">
        <v>53.532455444335938</v>
      </c>
      <c r="AB293" s="2">
        <v>186</v>
      </c>
      <c r="AC293" s="2">
        <v>0</v>
      </c>
      <c r="AD293" s="34">
        <v>45772</v>
      </c>
      <c r="AF293" s="12">
        <v>0.01</v>
      </c>
      <c r="AG293" s="12">
        <v>0.1</v>
      </c>
      <c r="AH293" s="144">
        <v>4.0000000000000001E-3</v>
      </c>
    </row>
    <row r="294" spans="1:34" x14ac:dyDescent="0.3">
      <c r="A294" s="105">
        <v>152</v>
      </c>
      <c r="B294" s="2" t="s">
        <v>399</v>
      </c>
      <c r="C294" s="16">
        <v>58.2</v>
      </c>
      <c r="D294" s="177">
        <v>2.6116838455200195</v>
      </c>
      <c r="E294" s="308">
        <v>3.024055004119873</v>
      </c>
      <c r="F294" s="308">
        <v>3.1958763599395752</v>
      </c>
      <c r="G294" s="166">
        <v>66.063835144042969</v>
      </c>
      <c r="H294" s="2">
        <v>176</v>
      </c>
      <c r="I294" s="2">
        <v>0</v>
      </c>
      <c r="J294" s="58">
        <v>45779</v>
      </c>
      <c r="K294" s="105">
        <v>152</v>
      </c>
      <c r="L294" s="2" t="s">
        <v>426</v>
      </c>
      <c r="M294" s="82">
        <v>61.36</v>
      </c>
      <c r="N294" s="179">
        <v>2.4771838188171387</v>
      </c>
      <c r="O294" s="176">
        <v>2.884615421295166</v>
      </c>
      <c r="P294" s="308">
        <v>3.0475878715515137</v>
      </c>
      <c r="Q294" s="159">
        <v>60.384815216064453</v>
      </c>
      <c r="R294" s="2">
        <v>177</v>
      </c>
      <c r="S294" s="2">
        <v>0</v>
      </c>
      <c r="T294" s="34">
        <v>45770</v>
      </c>
      <c r="U294" s="105">
        <v>152</v>
      </c>
      <c r="V294" s="2" t="s">
        <v>450</v>
      </c>
      <c r="W294" s="171">
        <v>62.92</v>
      </c>
      <c r="X294" s="179">
        <v>2.4157662391662598</v>
      </c>
      <c r="Y294" s="308">
        <v>3.0038144588470459</v>
      </c>
      <c r="Z294" s="308">
        <v>3.2104260921478271</v>
      </c>
      <c r="AA294" s="159">
        <v>57.86181640625</v>
      </c>
      <c r="AB294" s="2">
        <v>189</v>
      </c>
      <c r="AC294" s="2">
        <v>0</v>
      </c>
      <c r="AD294" s="34">
        <v>45786</v>
      </c>
      <c r="AF294" s="12">
        <v>0.13</v>
      </c>
      <c r="AG294" s="12">
        <v>1.57</v>
      </c>
      <c r="AH294" s="144">
        <v>5.3999999999999999E-2</v>
      </c>
    </row>
    <row r="295" spans="1:34" x14ac:dyDescent="0.3">
      <c r="A295" s="105">
        <v>153</v>
      </c>
      <c r="B295" s="2" t="s">
        <v>443</v>
      </c>
      <c r="C295" s="82">
        <v>62.22</v>
      </c>
      <c r="D295" s="179">
        <v>2.4590163230895996</v>
      </c>
      <c r="E295" s="308">
        <v>3.0376083850860596</v>
      </c>
      <c r="F295" s="308">
        <v>3.2304725646972656</v>
      </c>
      <c r="G295" s="159">
        <v>59.360790252685547</v>
      </c>
      <c r="H295" s="2">
        <v>189</v>
      </c>
      <c r="I295" s="2">
        <v>0</v>
      </c>
      <c r="J295" s="58">
        <v>45761</v>
      </c>
      <c r="K295" s="105">
        <v>153</v>
      </c>
      <c r="L295" s="2" t="s">
        <v>437</v>
      </c>
      <c r="M295" s="171">
        <v>64.14</v>
      </c>
      <c r="N295" s="179">
        <v>2.3854069709777832</v>
      </c>
      <c r="O295" s="308">
        <v>3.1337699890136719</v>
      </c>
      <c r="P295" s="178">
        <v>3.305269718170166</v>
      </c>
      <c r="Q295" s="159">
        <v>56.371746063232422</v>
      </c>
      <c r="R295" s="2">
        <v>201</v>
      </c>
      <c r="S295" s="2">
        <v>0</v>
      </c>
      <c r="T295" s="34">
        <v>45771</v>
      </c>
      <c r="U295" s="105">
        <v>153</v>
      </c>
      <c r="V295" s="2" t="s">
        <v>535</v>
      </c>
      <c r="W295" s="171">
        <v>64.91</v>
      </c>
      <c r="X295" s="179">
        <v>2.3571097850799561</v>
      </c>
      <c r="Y295" s="308">
        <v>3.0041594505310059</v>
      </c>
      <c r="Z295" s="308">
        <v>3.2198426723480225</v>
      </c>
      <c r="AA295" s="157">
        <v>55.239650726318359</v>
      </c>
      <c r="AB295" s="2">
        <v>195</v>
      </c>
      <c r="AC295" s="2">
        <v>0</v>
      </c>
      <c r="AD295" s="34">
        <v>45771</v>
      </c>
      <c r="AF295" s="12">
        <v>7.0000000000000007E-2</v>
      </c>
      <c r="AG295" s="12">
        <v>0.91</v>
      </c>
      <c r="AH295" s="144">
        <v>3.1E-2</v>
      </c>
    </row>
    <row r="296" spans="1:34" x14ac:dyDescent="0.3">
      <c r="A296" s="105">
        <v>154</v>
      </c>
      <c r="B296" s="2" t="s">
        <v>484</v>
      </c>
      <c r="C296" s="84">
        <v>65.64</v>
      </c>
      <c r="D296" s="179">
        <v>2.34613037109375</v>
      </c>
      <c r="E296" s="176">
        <v>2.8336379528045654</v>
      </c>
      <c r="F296" s="308">
        <v>3.0926265716552734</v>
      </c>
      <c r="G296" s="157">
        <v>54.553600311279297</v>
      </c>
      <c r="H296" s="2">
        <v>186</v>
      </c>
      <c r="I296" s="2">
        <v>0</v>
      </c>
      <c r="J296" s="58">
        <v>45777</v>
      </c>
      <c r="K296" s="105">
        <v>154</v>
      </c>
      <c r="L296" s="2" t="s">
        <v>411</v>
      </c>
      <c r="M296" s="84">
        <v>66.540000000000006</v>
      </c>
      <c r="N296" s="179">
        <v>2.3143973350524902</v>
      </c>
      <c r="O296" s="176">
        <v>2.8704538345336914</v>
      </c>
      <c r="P296" s="308">
        <v>3.1259391307830811</v>
      </c>
      <c r="Q296" s="157">
        <v>53.305156707763672</v>
      </c>
      <c r="R296" s="2">
        <v>191</v>
      </c>
      <c r="S296" s="2">
        <v>0</v>
      </c>
      <c r="T296" s="34">
        <v>45781</v>
      </c>
      <c r="U296" s="105">
        <v>154</v>
      </c>
      <c r="V296" s="2" t="s">
        <v>522</v>
      </c>
      <c r="W296" s="86">
        <v>70.13</v>
      </c>
      <c r="X296" s="185">
        <v>2.1959218978881836</v>
      </c>
      <c r="Y296" s="177">
        <v>2.5951805114746094</v>
      </c>
      <c r="Z296" s="176">
        <v>2.780550479888916</v>
      </c>
      <c r="AA296" s="158">
        <v>48.749870300292969</v>
      </c>
      <c r="AB296" s="2">
        <v>182</v>
      </c>
      <c r="AC296" s="2">
        <v>0</v>
      </c>
      <c r="AD296" s="34">
        <v>45730</v>
      </c>
      <c r="AF296" s="12">
        <v>0.03</v>
      </c>
      <c r="AG296" s="12">
        <v>0.41</v>
      </c>
      <c r="AH296" s="144">
        <v>1.4E-2</v>
      </c>
    </row>
    <row r="297" spans="1:34" x14ac:dyDescent="0.3">
      <c r="A297" s="105">
        <v>155</v>
      </c>
      <c r="B297" s="2" t="s">
        <v>536</v>
      </c>
      <c r="C297" s="171">
        <v>63.79</v>
      </c>
      <c r="D297" s="179">
        <v>2.4298479557037354</v>
      </c>
      <c r="E297" s="176">
        <v>2.837435245513916</v>
      </c>
      <c r="F297" s="308">
        <v>3.02555251121521</v>
      </c>
      <c r="G297" s="159">
        <v>57.642330169677734</v>
      </c>
      <c r="H297" s="2">
        <v>181</v>
      </c>
      <c r="I297" s="2">
        <v>0</v>
      </c>
      <c r="J297" s="58">
        <v>45778</v>
      </c>
      <c r="K297" s="105">
        <v>155</v>
      </c>
      <c r="L297" s="2" t="s">
        <v>526</v>
      </c>
      <c r="M297" s="171">
        <v>64.489999999999995</v>
      </c>
      <c r="N297" s="179">
        <v>2.4034733772277832</v>
      </c>
      <c r="O297" s="308">
        <v>3.2098000049591064</v>
      </c>
      <c r="P297" s="178">
        <v>3.411381721496582</v>
      </c>
      <c r="Q297" s="159">
        <v>56.582736968994141</v>
      </c>
      <c r="R297" s="2">
        <v>207</v>
      </c>
      <c r="S297" s="2">
        <v>0</v>
      </c>
      <c r="T297" s="34">
        <v>45780</v>
      </c>
      <c r="U297" s="105">
        <v>155</v>
      </c>
      <c r="V297" s="2" t="s">
        <v>537</v>
      </c>
      <c r="W297" s="84">
        <v>66.61</v>
      </c>
      <c r="X297" s="179">
        <v>2.3269779682159424</v>
      </c>
      <c r="Y297" s="308">
        <v>3.0175650119781494</v>
      </c>
      <c r="Z297" s="308">
        <v>3.212730884552002</v>
      </c>
      <c r="AA297" s="157">
        <v>53.555477142333984</v>
      </c>
      <c r="AB297" s="2">
        <v>201</v>
      </c>
      <c r="AC297" s="2">
        <v>0</v>
      </c>
      <c r="AD297" s="34">
        <v>45768</v>
      </c>
      <c r="AF297" s="12">
        <v>0.03</v>
      </c>
      <c r="AG297" s="12">
        <v>0.36000000000000004</v>
      </c>
      <c r="AH297" s="144">
        <v>1.0999999999999999E-2</v>
      </c>
    </row>
    <row r="298" spans="1:34" x14ac:dyDescent="0.3">
      <c r="A298" s="105">
        <v>156</v>
      </c>
      <c r="B298" s="2" t="s">
        <v>492</v>
      </c>
      <c r="C298" s="84">
        <v>65.14</v>
      </c>
      <c r="D298" s="179">
        <v>2.3948419094085693</v>
      </c>
      <c r="E298" s="176">
        <v>2.9628493785858154</v>
      </c>
      <c r="F298" s="308">
        <v>3.1777710914611816</v>
      </c>
      <c r="G298" s="157">
        <v>55.985130310058594</v>
      </c>
      <c r="H298" s="2">
        <v>193</v>
      </c>
      <c r="I298" s="2">
        <v>0</v>
      </c>
      <c r="J298" s="58">
        <v>45761</v>
      </c>
      <c r="K298" s="105">
        <v>156</v>
      </c>
      <c r="L298" s="2" t="s">
        <v>538</v>
      </c>
      <c r="M298" s="84">
        <v>65.34</v>
      </c>
      <c r="N298" s="179">
        <v>2.3875117301940918</v>
      </c>
      <c r="O298" s="176">
        <v>2.9078667163848877</v>
      </c>
      <c r="P298" s="308">
        <v>3.0762169361114502</v>
      </c>
      <c r="Q298" s="157">
        <v>55.694122314453125</v>
      </c>
      <c r="R298" s="2">
        <v>190</v>
      </c>
      <c r="S298" s="2">
        <v>0</v>
      </c>
      <c r="T298" s="34">
        <v>45760</v>
      </c>
      <c r="U298" s="105">
        <v>156</v>
      </c>
      <c r="V298" s="2" t="s">
        <v>539</v>
      </c>
      <c r="W298" s="85">
        <v>68.47</v>
      </c>
      <c r="X298" s="179">
        <v>2.2783701419830322</v>
      </c>
      <c r="Y298" s="308">
        <v>3.0086169242858887</v>
      </c>
      <c r="Z298" s="308">
        <v>3.1838760375976563</v>
      </c>
      <c r="AA298" s="157">
        <v>51.435539245605469</v>
      </c>
      <c r="AB298" s="2">
        <v>206</v>
      </c>
      <c r="AC298" s="2">
        <v>0</v>
      </c>
      <c r="AD298" s="34">
        <v>45808</v>
      </c>
      <c r="AF298" s="12">
        <v>0.01</v>
      </c>
      <c r="AG298" s="12">
        <v>0.11</v>
      </c>
      <c r="AH298" s="144">
        <v>3.0000000000000001E-3</v>
      </c>
    </row>
    <row r="299" spans="1:34" x14ac:dyDescent="0.3">
      <c r="A299" s="105">
        <v>157</v>
      </c>
      <c r="B299" s="2" t="s">
        <v>448</v>
      </c>
      <c r="C299" s="171">
        <v>62.73</v>
      </c>
      <c r="D299" s="177">
        <v>2.5027897357940674</v>
      </c>
      <c r="E299" s="308">
        <v>3.0129125118255615</v>
      </c>
      <c r="F299" s="178">
        <v>3.2520325183868408</v>
      </c>
      <c r="G299" s="159">
        <v>60.073219299316406</v>
      </c>
      <c r="H299" s="2">
        <v>189</v>
      </c>
      <c r="I299" s="2">
        <v>0</v>
      </c>
      <c r="J299" s="58">
        <v>45778</v>
      </c>
      <c r="K299" s="105">
        <v>157</v>
      </c>
      <c r="L299" s="2" t="s">
        <v>540</v>
      </c>
      <c r="M299" s="85">
        <v>67.930000000000007</v>
      </c>
      <c r="N299" s="179">
        <v>2.3112027645111084</v>
      </c>
      <c r="O299" s="176">
        <v>2.7528338432312012</v>
      </c>
      <c r="P299" s="308">
        <v>3.0178124904632568</v>
      </c>
      <c r="Q299" s="157">
        <v>52.466751098632813</v>
      </c>
      <c r="R299" s="2">
        <v>187</v>
      </c>
      <c r="S299" s="2">
        <v>0</v>
      </c>
      <c r="T299" s="34">
        <v>45772</v>
      </c>
      <c r="U299" s="105">
        <v>157</v>
      </c>
      <c r="V299" s="2" t="s">
        <v>411</v>
      </c>
      <c r="W299" s="85">
        <v>68.739999999999995</v>
      </c>
      <c r="X299" s="179">
        <v>2.2839686870574951</v>
      </c>
      <c r="Y299" s="176">
        <v>2.8658714294433594</v>
      </c>
      <c r="Z299" s="308">
        <v>3.0549898147583008</v>
      </c>
      <c r="AA299" s="157">
        <v>51.420078277587891</v>
      </c>
      <c r="AB299" s="2">
        <v>197</v>
      </c>
      <c r="AC299" s="2">
        <v>0</v>
      </c>
      <c r="AD299" s="34">
        <v>45765</v>
      </c>
      <c r="AF299" s="12">
        <v>0.19</v>
      </c>
      <c r="AG299" s="12">
        <v>2.87</v>
      </c>
      <c r="AH299" s="144">
        <v>8.3000000000000004E-2</v>
      </c>
    </row>
    <row r="300" spans="1:34" x14ac:dyDescent="0.3">
      <c r="A300" s="105">
        <v>158</v>
      </c>
      <c r="B300" s="2" t="s">
        <v>414</v>
      </c>
      <c r="C300" s="16">
        <v>59.51</v>
      </c>
      <c r="D300" s="177">
        <v>2.6550159454345703</v>
      </c>
      <c r="E300" s="178">
        <v>3.3103680610656738</v>
      </c>
      <c r="F300" s="178">
        <v>3.4784071445465088</v>
      </c>
      <c r="G300" s="166">
        <v>66.121612548828125</v>
      </c>
      <c r="H300" s="2">
        <v>197</v>
      </c>
      <c r="I300" s="2">
        <v>0</v>
      </c>
      <c r="J300" s="58">
        <v>45809</v>
      </c>
      <c r="K300" s="105">
        <v>158</v>
      </c>
      <c r="L300" s="2" t="s">
        <v>541</v>
      </c>
      <c r="M300" s="84">
        <v>66.48</v>
      </c>
      <c r="N300" s="179">
        <v>2.3766546249389648</v>
      </c>
      <c r="O300" s="176">
        <v>2.9482550621032715</v>
      </c>
      <c r="P300" s="308">
        <v>3.1889288425445557</v>
      </c>
      <c r="Q300" s="157">
        <v>54.773635864257813</v>
      </c>
      <c r="R300" s="2">
        <v>196</v>
      </c>
      <c r="S300" s="2">
        <v>0</v>
      </c>
      <c r="T300" s="34">
        <v>45775</v>
      </c>
      <c r="U300" s="105">
        <v>158</v>
      </c>
      <c r="V300" s="2" t="s">
        <v>443</v>
      </c>
      <c r="W300" s="85">
        <v>67.61</v>
      </c>
      <c r="X300" s="179">
        <v>2.3369324207305908</v>
      </c>
      <c r="Y300" s="176">
        <v>2.9581422805786133</v>
      </c>
      <c r="Z300" s="308">
        <v>3.1800029277801514</v>
      </c>
      <c r="AA300" s="157">
        <v>53.226482391357422</v>
      </c>
      <c r="AB300" s="2">
        <v>200</v>
      </c>
      <c r="AC300" s="2">
        <v>0</v>
      </c>
      <c r="AD300" s="34">
        <v>45743</v>
      </c>
      <c r="AF300" s="12">
        <v>0.28000000000000003</v>
      </c>
      <c r="AG300" s="12">
        <v>4.3499999999999996</v>
      </c>
      <c r="AH300" s="144">
        <v>0.11700000000000001</v>
      </c>
    </row>
    <row r="301" spans="1:34" x14ac:dyDescent="0.3">
      <c r="A301" s="105">
        <v>159</v>
      </c>
      <c r="B301" s="2" t="s">
        <v>437</v>
      </c>
      <c r="C301" s="82">
        <v>61.91</v>
      </c>
      <c r="D301" s="177">
        <v>2.5682442188262939</v>
      </c>
      <c r="E301" s="178">
        <v>3.2951056957244873</v>
      </c>
      <c r="F301" s="310">
        <v>3.6020028591156006</v>
      </c>
      <c r="G301" s="159">
        <v>62.214698791503906</v>
      </c>
      <c r="H301" s="2">
        <v>204</v>
      </c>
      <c r="I301" s="2">
        <v>0</v>
      </c>
      <c r="J301" s="58">
        <v>45807</v>
      </c>
      <c r="K301" s="105">
        <v>159</v>
      </c>
      <c r="L301" s="2" t="s">
        <v>421</v>
      </c>
      <c r="M301" s="84">
        <v>65.09</v>
      </c>
      <c r="N301" s="179">
        <v>2.4427716732025146</v>
      </c>
      <c r="O301" s="308">
        <v>3.2416656017303467</v>
      </c>
      <c r="P301" s="178">
        <v>3.4874789714813232</v>
      </c>
      <c r="Q301" s="159">
        <v>57.136306762695313</v>
      </c>
      <c r="R301" s="2">
        <v>211</v>
      </c>
      <c r="S301" s="2">
        <v>0</v>
      </c>
      <c r="T301" s="34">
        <v>45809</v>
      </c>
      <c r="U301" s="105">
        <v>159</v>
      </c>
      <c r="V301" s="2" t="s">
        <v>396</v>
      </c>
      <c r="W301" s="84">
        <v>65.569999999999993</v>
      </c>
      <c r="X301" s="179">
        <v>2.4248893260955811</v>
      </c>
      <c r="Y301" s="308">
        <v>3.0349245071411133</v>
      </c>
      <c r="Z301" s="308">
        <v>3.2179350852966309</v>
      </c>
      <c r="AA301" s="159">
        <v>56.427082061767578</v>
      </c>
      <c r="AB301" s="2">
        <v>199</v>
      </c>
      <c r="AC301" s="2">
        <v>0</v>
      </c>
      <c r="AD301" s="34">
        <v>45763</v>
      </c>
      <c r="AF301" s="12">
        <v>0.13</v>
      </c>
      <c r="AG301" s="12">
        <v>2.0300000000000002</v>
      </c>
      <c r="AH301" s="144">
        <v>5.0999999999999997E-2</v>
      </c>
    </row>
    <row r="302" spans="1:34" x14ac:dyDescent="0.3">
      <c r="A302" s="105">
        <v>160</v>
      </c>
      <c r="B302" s="2" t="s">
        <v>418</v>
      </c>
      <c r="C302" s="82">
        <v>60.12</v>
      </c>
      <c r="D302" s="177">
        <v>2.661344051361084</v>
      </c>
      <c r="E302" s="308">
        <v>3.1769795417785645</v>
      </c>
      <c r="F302" s="178">
        <v>3.3266799449920654</v>
      </c>
      <c r="G302" s="166">
        <v>65.807746887207031</v>
      </c>
      <c r="H302" s="2">
        <v>191</v>
      </c>
      <c r="I302" s="2">
        <v>0</v>
      </c>
      <c r="J302" s="58">
        <v>45772</v>
      </c>
      <c r="K302" s="105">
        <v>160</v>
      </c>
      <c r="L302" s="2" t="s">
        <v>396</v>
      </c>
      <c r="M302" s="82">
        <v>62.43</v>
      </c>
      <c r="N302" s="177">
        <v>2.5628705024719238</v>
      </c>
      <c r="O302" s="308">
        <v>3.1074802875518799</v>
      </c>
      <c r="P302" s="178">
        <v>3.2996957302093506</v>
      </c>
      <c r="Q302" s="159">
        <v>61.722080230712891</v>
      </c>
      <c r="R302" s="2">
        <v>194</v>
      </c>
      <c r="S302" s="2">
        <v>0</v>
      </c>
      <c r="T302" s="34">
        <v>45768</v>
      </c>
      <c r="U302" s="105">
        <v>160</v>
      </c>
      <c r="V302" s="2" t="s">
        <v>492</v>
      </c>
      <c r="W302" s="85">
        <v>67.510000000000005</v>
      </c>
      <c r="X302" s="179">
        <v>2.3700191974639893</v>
      </c>
      <c r="Y302" s="176">
        <v>2.8736481666564941</v>
      </c>
      <c r="Z302" s="308">
        <v>3.0958375930786133</v>
      </c>
      <c r="AA302" s="157">
        <v>54.036029815673828</v>
      </c>
      <c r="AB302" s="2">
        <v>194</v>
      </c>
      <c r="AC302" s="2">
        <v>0</v>
      </c>
      <c r="AD302" s="34">
        <v>45745</v>
      </c>
      <c r="AF302" s="12">
        <v>0.1</v>
      </c>
      <c r="AG302" s="12">
        <v>1.65</v>
      </c>
      <c r="AH302" s="144">
        <v>3.7999999999999999E-2</v>
      </c>
    </row>
    <row r="303" spans="1:34" x14ac:dyDescent="0.3">
      <c r="A303" s="105">
        <v>161</v>
      </c>
      <c r="B303" s="2" t="s">
        <v>445</v>
      </c>
      <c r="C303" s="82">
        <v>62.35</v>
      </c>
      <c r="D303" s="177">
        <v>2.5821974277496338</v>
      </c>
      <c r="E303" s="308">
        <v>3.1275060176849365</v>
      </c>
      <c r="F303" s="178">
        <v>3.2878909111022949</v>
      </c>
      <c r="G303" s="159">
        <v>62.243377685546875</v>
      </c>
      <c r="H303" s="2">
        <v>195</v>
      </c>
      <c r="I303" s="2">
        <v>0</v>
      </c>
      <c r="J303" s="58">
        <v>45766</v>
      </c>
      <c r="K303" s="105">
        <v>161</v>
      </c>
      <c r="L303" s="2" t="s">
        <v>424</v>
      </c>
      <c r="M303" s="171">
        <v>63.83</v>
      </c>
      <c r="N303" s="177">
        <v>2.522324800491333</v>
      </c>
      <c r="O303" s="308">
        <v>3.211655855178833</v>
      </c>
      <c r="P303" s="178">
        <v>3.4779882431030273</v>
      </c>
      <c r="Q303" s="159">
        <v>59.809871673583984</v>
      </c>
      <c r="R303" s="2">
        <v>205</v>
      </c>
      <c r="S303" s="2">
        <v>0</v>
      </c>
      <c r="T303" s="34">
        <v>45769</v>
      </c>
      <c r="U303" s="105">
        <v>161</v>
      </c>
      <c r="V303" s="2" t="s">
        <v>416</v>
      </c>
      <c r="W303" s="171">
        <v>64.52</v>
      </c>
      <c r="X303" s="179">
        <v>2.4953503608703613</v>
      </c>
      <c r="Y303" s="308">
        <v>3.0378179550170898</v>
      </c>
      <c r="Z303" s="178">
        <v>3.3013021945953369</v>
      </c>
      <c r="AA303" s="159">
        <v>58.726589202880859</v>
      </c>
      <c r="AB303" s="2">
        <v>196</v>
      </c>
      <c r="AC303" s="2">
        <v>0</v>
      </c>
      <c r="AD303" s="34">
        <v>45701</v>
      </c>
      <c r="AF303" s="12">
        <v>0.06</v>
      </c>
      <c r="AG303" s="12">
        <v>1.0399999999999998</v>
      </c>
      <c r="AH303" s="144">
        <v>2.4E-2</v>
      </c>
    </row>
    <row r="304" spans="1:34" x14ac:dyDescent="0.3">
      <c r="A304" s="105">
        <v>162</v>
      </c>
      <c r="B304" s="2" t="s">
        <v>424</v>
      </c>
      <c r="C304" s="171">
        <v>63.28</v>
      </c>
      <c r="D304" s="177">
        <v>2.5600507259368896</v>
      </c>
      <c r="E304" s="178">
        <v>3.2869784832000732</v>
      </c>
      <c r="F304" s="310">
        <v>3.5556259155273438</v>
      </c>
      <c r="G304" s="159">
        <v>61.073284149169922</v>
      </c>
      <c r="H304" s="2">
        <v>208</v>
      </c>
      <c r="I304" s="2">
        <v>0</v>
      </c>
      <c r="J304" s="58">
        <v>45780</v>
      </c>
      <c r="K304" s="105">
        <v>162</v>
      </c>
      <c r="L304" s="2" t="s">
        <v>542</v>
      </c>
      <c r="M304" s="171">
        <v>64.040000000000006</v>
      </c>
      <c r="N304" s="177">
        <v>2.5296688079833984</v>
      </c>
      <c r="O304" s="308">
        <v>3.1386632919311523</v>
      </c>
      <c r="P304" s="178">
        <v>3.4353528022766113</v>
      </c>
      <c r="Q304" s="159">
        <v>59.846260070800781</v>
      </c>
      <c r="R304" s="2">
        <v>201</v>
      </c>
      <c r="S304" s="2">
        <v>0</v>
      </c>
      <c r="T304" s="34">
        <v>45767</v>
      </c>
      <c r="U304" s="105">
        <v>162</v>
      </c>
      <c r="V304" s="2" t="s">
        <v>455</v>
      </c>
      <c r="W304" s="84">
        <v>66.709999999999994</v>
      </c>
      <c r="X304" s="179">
        <v>2.4284214973449707</v>
      </c>
      <c r="Y304" s="176">
        <v>2.9380903244018555</v>
      </c>
      <c r="Z304" s="308">
        <v>3.2079148292541504</v>
      </c>
      <c r="AA304" s="157">
        <v>55.831550598144531</v>
      </c>
      <c r="AB304" s="2">
        <v>196</v>
      </c>
      <c r="AC304" s="2">
        <v>0</v>
      </c>
      <c r="AD304" s="34">
        <v>45746</v>
      </c>
      <c r="AF304" s="12">
        <v>0.03</v>
      </c>
      <c r="AG304" s="12">
        <v>0.54</v>
      </c>
      <c r="AH304" s="144">
        <v>1.2E-2</v>
      </c>
    </row>
    <row r="305" spans="1:34" x14ac:dyDescent="0.3">
      <c r="A305" s="105">
        <v>163</v>
      </c>
      <c r="B305" s="2" t="s">
        <v>439</v>
      </c>
      <c r="C305" s="171">
        <v>63.29</v>
      </c>
      <c r="D305" s="177">
        <v>2.5754463672637939</v>
      </c>
      <c r="E305" s="308">
        <v>3.0652551651000977</v>
      </c>
      <c r="F305" s="178">
        <v>3.2548584938049316</v>
      </c>
      <c r="G305" s="159">
        <v>61.433773040771484</v>
      </c>
      <c r="H305" s="2">
        <v>194</v>
      </c>
      <c r="I305" s="2">
        <v>0</v>
      </c>
      <c r="J305" s="58">
        <v>45754</v>
      </c>
      <c r="K305" s="105">
        <v>163</v>
      </c>
      <c r="L305" s="2" t="s">
        <v>432</v>
      </c>
      <c r="M305" s="86">
        <v>70.099999999999994</v>
      </c>
      <c r="N305" s="179">
        <v>2.3252496719360352</v>
      </c>
      <c r="O305" s="176">
        <v>2.7532098293304443</v>
      </c>
      <c r="P305" s="176">
        <v>2.9671897888183594</v>
      </c>
      <c r="Q305" s="157">
        <v>51.636436462402344</v>
      </c>
      <c r="R305" s="2">
        <v>193</v>
      </c>
      <c r="S305" s="2">
        <v>0</v>
      </c>
      <c r="T305" s="34">
        <v>45773</v>
      </c>
      <c r="U305" s="105">
        <v>163</v>
      </c>
      <c r="V305" s="2" t="s">
        <v>429</v>
      </c>
      <c r="W305" s="86">
        <v>70.58</v>
      </c>
      <c r="X305" s="179">
        <v>2.3094360828399658</v>
      </c>
      <c r="Y305" s="176">
        <v>2.9186737537384033</v>
      </c>
      <c r="Z305" s="308">
        <v>3.2303767204284668</v>
      </c>
      <c r="AA305" s="157">
        <v>51.040863037109375</v>
      </c>
      <c r="AB305" s="2">
        <v>206</v>
      </c>
      <c r="AC305" s="2">
        <v>0</v>
      </c>
      <c r="AD305" s="34">
        <v>45773</v>
      </c>
      <c r="AF305" s="12">
        <v>0.25</v>
      </c>
      <c r="AG305" s="12">
        <v>4.5900000000000007</v>
      </c>
      <c r="AH305" s="144">
        <v>0.108</v>
      </c>
    </row>
    <row r="306" spans="1:34" x14ac:dyDescent="0.3">
      <c r="A306" s="105">
        <v>164</v>
      </c>
      <c r="B306" s="2" t="s">
        <v>432</v>
      </c>
      <c r="C306" s="84">
        <v>66.489999999999995</v>
      </c>
      <c r="D306" s="179">
        <v>2.466536283493042</v>
      </c>
      <c r="E306" s="308">
        <v>3.098210334777832</v>
      </c>
      <c r="F306" s="178">
        <v>3.3238081932067871</v>
      </c>
      <c r="G306" s="159">
        <v>56.839122772216797</v>
      </c>
      <c r="H306" s="2">
        <v>206</v>
      </c>
      <c r="I306" s="2">
        <v>0</v>
      </c>
      <c r="J306" s="58">
        <v>45770</v>
      </c>
      <c r="K306" s="105">
        <v>164</v>
      </c>
      <c r="L306" s="2" t="s">
        <v>424</v>
      </c>
      <c r="M306" s="84">
        <v>66.53</v>
      </c>
      <c r="N306" s="179">
        <v>2.4650533199310303</v>
      </c>
      <c r="O306" s="308">
        <v>3.0512552261352539</v>
      </c>
      <c r="P306" s="178">
        <v>3.2767174243927002</v>
      </c>
      <c r="Q306" s="159">
        <v>56.781036376953125</v>
      </c>
      <c r="R306" s="2">
        <v>203</v>
      </c>
      <c r="S306" s="2">
        <v>0</v>
      </c>
      <c r="T306" s="34">
        <v>45768</v>
      </c>
      <c r="U306" s="105">
        <v>164</v>
      </c>
      <c r="V306" s="2" t="s">
        <v>543</v>
      </c>
      <c r="W306" s="84">
        <v>66.55</v>
      </c>
      <c r="X306" s="179">
        <v>2.4643123149871826</v>
      </c>
      <c r="Y306" s="176">
        <v>2.9151012897491455</v>
      </c>
      <c r="Z306" s="308">
        <v>3.080390453338623</v>
      </c>
      <c r="AA306" s="159">
        <v>56.752025604248047</v>
      </c>
      <c r="AB306" s="2">
        <v>194</v>
      </c>
      <c r="AC306" s="2">
        <v>0</v>
      </c>
      <c r="AD306" s="34">
        <v>45761</v>
      </c>
      <c r="AF306" s="12">
        <v>0</v>
      </c>
      <c r="AG306" s="12">
        <v>3.0000000000000002E-2</v>
      </c>
      <c r="AH306" s="144">
        <v>1E-3</v>
      </c>
    </row>
    <row r="307" spans="1:34" x14ac:dyDescent="0.3">
      <c r="A307" s="105">
        <v>165</v>
      </c>
      <c r="B307" s="2" t="s">
        <v>446</v>
      </c>
      <c r="C307" s="82">
        <v>62.36</v>
      </c>
      <c r="D307" s="177">
        <v>2.6459269523620605</v>
      </c>
      <c r="E307" s="178">
        <v>3.2713277339935303</v>
      </c>
      <c r="F307" s="178">
        <v>3.4477229118347168</v>
      </c>
      <c r="G307" s="166">
        <v>63.772407531738281</v>
      </c>
      <c r="H307" s="2">
        <v>204</v>
      </c>
      <c r="I307" s="2">
        <v>0</v>
      </c>
      <c r="J307" s="58">
        <v>45794</v>
      </c>
      <c r="K307" s="105">
        <v>165</v>
      </c>
      <c r="L307" s="2" t="s">
        <v>530</v>
      </c>
      <c r="M307" s="84">
        <v>65.489999999999995</v>
      </c>
      <c r="N307" s="177">
        <v>2.5194687843322754</v>
      </c>
      <c r="O307" s="308">
        <v>3.0080928802490234</v>
      </c>
      <c r="P307" s="178">
        <v>3.2524051666259766</v>
      </c>
      <c r="Q307" s="159">
        <v>58.678062438964844</v>
      </c>
      <c r="R307" s="2">
        <v>197</v>
      </c>
      <c r="S307" s="2">
        <v>0</v>
      </c>
      <c r="T307" s="34">
        <v>45750</v>
      </c>
      <c r="U307" s="105">
        <v>165</v>
      </c>
      <c r="V307" s="2" t="s">
        <v>432</v>
      </c>
      <c r="W307" s="84">
        <v>66.349999999999994</v>
      </c>
      <c r="X307" s="179">
        <v>2.4868123531341553</v>
      </c>
      <c r="Y307" s="308">
        <v>3.1650340557098389</v>
      </c>
      <c r="Z307" s="178">
        <v>3.3760361671447754</v>
      </c>
      <c r="AA307" s="159">
        <v>57.390979766845703</v>
      </c>
      <c r="AB307" s="2">
        <v>210</v>
      </c>
      <c r="AC307" s="2">
        <v>0</v>
      </c>
      <c r="AD307" s="34">
        <v>45755</v>
      </c>
      <c r="AF307" s="12">
        <v>0.13</v>
      </c>
      <c r="AG307" s="12">
        <v>2.42</v>
      </c>
      <c r="AH307" s="144">
        <v>0.05</v>
      </c>
    </row>
    <row r="308" spans="1:34" x14ac:dyDescent="0.3">
      <c r="A308" s="105">
        <v>166</v>
      </c>
      <c r="B308" s="2" t="s">
        <v>435</v>
      </c>
      <c r="C308" s="82">
        <v>61.71</v>
      </c>
      <c r="D308" s="177">
        <v>2.6900017261505127</v>
      </c>
      <c r="E308" s="308">
        <v>3.2409658432006836</v>
      </c>
      <c r="F308" s="178">
        <v>3.4192190170288086</v>
      </c>
      <c r="G308" s="166">
        <v>65.311988830566406</v>
      </c>
      <c r="H308" s="2">
        <v>200</v>
      </c>
      <c r="I308" s="2">
        <v>0</v>
      </c>
      <c r="J308" s="58">
        <v>45809</v>
      </c>
      <c r="K308" s="105">
        <v>166</v>
      </c>
      <c r="L308" s="2" t="s">
        <v>451</v>
      </c>
      <c r="M308" s="171">
        <v>63.62</v>
      </c>
      <c r="N308" s="177">
        <v>2.6092424392700195</v>
      </c>
      <c r="O308" s="308">
        <v>3.1122288703918457</v>
      </c>
      <c r="P308" s="308">
        <v>3.2379755973815918</v>
      </c>
      <c r="Q308" s="159">
        <v>62.013771057128906</v>
      </c>
      <c r="R308" s="2">
        <v>198</v>
      </c>
      <c r="S308" s="2">
        <v>0</v>
      </c>
      <c r="T308" s="34">
        <v>45807</v>
      </c>
      <c r="U308" s="105">
        <v>166</v>
      </c>
      <c r="V308" s="2" t="s">
        <v>528</v>
      </c>
      <c r="W308" s="171">
        <v>64.900000000000006</v>
      </c>
      <c r="X308" s="177">
        <v>2.5577812194824219</v>
      </c>
      <c r="Y308" s="178">
        <v>3.2511556148529053</v>
      </c>
      <c r="Z308" s="310">
        <v>3.5439136028289795</v>
      </c>
      <c r="AA308" s="159">
        <v>59.948917388916016</v>
      </c>
      <c r="AB308" s="2">
        <v>211</v>
      </c>
      <c r="AC308" s="2">
        <v>0</v>
      </c>
      <c r="AD308" s="34">
        <v>45807</v>
      </c>
      <c r="AF308" s="12">
        <v>0.08</v>
      </c>
      <c r="AG308" s="12">
        <v>1.58</v>
      </c>
      <c r="AH308" s="144">
        <v>3.1E-2</v>
      </c>
    </row>
    <row r="309" spans="1:34" x14ac:dyDescent="0.3">
      <c r="A309" s="105">
        <v>167</v>
      </c>
      <c r="B309" s="2" t="s">
        <v>484</v>
      </c>
      <c r="C309" s="84">
        <v>65</v>
      </c>
      <c r="D309" s="177">
        <v>2.5692307949066162</v>
      </c>
      <c r="E309" s="176">
        <v>2.9692306518554688</v>
      </c>
      <c r="F309" s="308">
        <v>3.0923078060150146</v>
      </c>
      <c r="G309" s="159">
        <v>60.152408599853516</v>
      </c>
      <c r="H309" s="2">
        <v>193</v>
      </c>
      <c r="I309" s="2">
        <v>0</v>
      </c>
      <c r="J309" s="58">
        <v>45730</v>
      </c>
      <c r="K309" s="105">
        <v>167</v>
      </c>
      <c r="L309" s="2" t="s">
        <v>527</v>
      </c>
      <c r="M309" s="84">
        <v>65.98</v>
      </c>
      <c r="N309" s="177">
        <v>2.5310699939727783</v>
      </c>
      <c r="O309" s="308">
        <v>3.1524703502655029</v>
      </c>
      <c r="P309" s="178">
        <v>3.3494997024536133</v>
      </c>
      <c r="Q309" s="159">
        <v>58.641456604003906</v>
      </c>
      <c r="R309" s="2">
        <v>208</v>
      </c>
      <c r="S309" s="2">
        <v>0</v>
      </c>
      <c r="T309" s="34">
        <v>45807</v>
      </c>
      <c r="U309" s="105">
        <v>167</v>
      </c>
      <c r="V309" s="2" t="s">
        <v>404</v>
      </c>
      <c r="W309" s="84">
        <v>66.78</v>
      </c>
      <c r="X309" s="177">
        <v>2.500748872756958</v>
      </c>
      <c r="Y309" s="308">
        <v>3.0997304916381836</v>
      </c>
      <c r="Z309" s="178">
        <v>3.3692722320556641</v>
      </c>
      <c r="AA309" s="159">
        <v>57.452224731445313</v>
      </c>
      <c r="AB309" s="2">
        <v>207</v>
      </c>
      <c r="AC309" s="2">
        <v>0</v>
      </c>
      <c r="AD309" s="34">
        <v>45806</v>
      </c>
      <c r="AF309" s="12">
        <v>0.04</v>
      </c>
      <c r="AG309" s="12">
        <v>0.76</v>
      </c>
      <c r="AH309" s="144">
        <v>1.4999999999999999E-2</v>
      </c>
    </row>
    <row r="310" spans="1:34" x14ac:dyDescent="0.3">
      <c r="A310" s="105">
        <v>168</v>
      </c>
      <c r="B310" s="2" t="s">
        <v>500</v>
      </c>
      <c r="C310" s="171">
        <v>63.59</v>
      </c>
      <c r="D310" s="177">
        <v>2.6419248580932617</v>
      </c>
      <c r="E310" s="178">
        <v>3.3024060726165771</v>
      </c>
      <c r="F310" s="310">
        <v>3.6169209480285645</v>
      </c>
      <c r="G310" s="166">
        <v>62.811264038085938</v>
      </c>
      <c r="H310" s="2">
        <v>210</v>
      </c>
      <c r="I310" s="2">
        <v>0</v>
      </c>
      <c r="J310" s="58">
        <v>45763</v>
      </c>
      <c r="K310" s="105">
        <v>168</v>
      </c>
      <c r="L310" s="2" t="s">
        <v>503</v>
      </c>
      <c r="M310" s="171">
        <v>64.05</v>
      </c>
      <c r="N310" s="177">
        <v>2.6229507923126221</v>
      </c>
      <c r="O310" s="178">
        <v>3.3255267143249512</v>
      </c>
      <c r="P310" s="310">
        <v>3.5597188472747803</v>
      </c>
      <c r="Q310" s="159">
        <v>62.046314239501953</v>
      </c>
      <c r="R310" s="2">
        <v>213</v>
      </c>
      <c r="S310" s="2">
        <v>0</v>
      </c>
      <c r="T310" s="34">
        <v>45805</v>
      </c>
      <c r="U310" s="105">
        <v>168</v>
      </c>
      <c r="V310" s="2" t="s">
        <v>452</v>
      </c>
      <c r="W310" s="171">
        <v>64.17</v>
      </c>
      <c r="X310" s="177">
        <v>2.6180458068847656</v>
      </c>
      <c r="Y310" s="308">
        <v>3.0076360702514648</v>
      </c>
      <c r="Z310" s="308">
        <v>3.2258064746856689</v>
      </c>
      <c r="AA310" s="159">
        <v>61.849201202392578</v>
      </c>
      <c r="AB310" s="2">
        <v>193</v>
      </c>
      <c r="AC310" s="2">
        <v>0</v>
      </c>
      <c r="AD310" s="34">
        <v>45809</v>
      </c>
      <c r="AF310" s="12">
        <v>0.02</v>
      </c>
      <c r="AG310" s="12">
        <v>0.38</v>
      </c>
      <c r="AH310" s="144">
        <v>7.0000000000000001E-3</v>
      </c>
    </row>
    <row r="311" spans="1:34" x14ac:dyDescent="0.3">
      <c r="A311" s="105">
        <v>169</v>
      </c>
      <c r="B311" s="2" t="s">
        <v>525</v>
      </c>
      <c r="C311" s="84">
        <v>66.040000000000006</v>
      </c>
      <c r="D311" s="177">
        <v>2.5590550899505615</v>
      </c>
      <c r="E311" s="308">
        <v>3.1798908710479736</v>
      </c>
      <c r="F311" s="178">
        <v>3.4070260524749756</v>
      </c>
      <c r="G311" s="159">
        <v>59.252124786376953</v>
      </c>
      <c r="H311" s="2">
        <v>210</v>
      </c>
      <c r="I311" s="2">
        <v>0</v>
      </c>
      <c r="J311" s="58">
        <v>45794</v>
      </c>
      <c r="K311" s="105">
        <v>169</v>
      </c>
      <c r="L311" s="2" t="s">
        <v>492</v>
      </c>
      <c r="M311" s="84">
        <v>66.87</v>
      </c>
      <c r="N311" s="177">
        <v>2.5272917747497559</v>
      </c>
      <c r="O311" s="308">
        <v>3.0656497478485107</v>
      </c>
      <c r="P311" s="308">
        <v>3.215193510055542</v>
      </c>
      <c r="Q311" s="159">
        <v>58.007301330566406</v>
      </c>
      <c r="R311" s="2">
        <v>205</v>
      </c>
      <c r="S311" s="2">
        <v>0</v>
      </c>
      <c r="T311" s="34">
        <v>45808</v>
      </c>
      <c r="U311" s="105">
        <v>169</v>
      </c>
      <c r="V311" s="2" t="s">
        <v>445</v>
      </c>
      <c r="W311" s="84">
        <v>67.33</v>
      </c>
      <c r="X311" s="177">
        <v>2.5100252628326416</v>
      </c>
      <c r="Y311" s="176">
        <v>2.9555916786193848</v>
      </c>
      <c r="Z311" s="308">
        <v>3.1189661026000977</v>
      </c>
      <c r="AA311" s="159">
        <v>57.335197448730469</v>
      </c>
      <c r="AB311" s="2">
        <v>199</v>
      </c>
      <c r="AC311" s="2">
        <v>0</v>
      </c>
      <c r="AD311" s="34">
        <v>45761</v>
      </c>
      <c r="AF311" s="12">
        <v>0.03</v>
      </c>
      <c r="AG311" s="12">
        <v>0.64</v>
      </c>
      <c r="AH311" s="144">
        <v>1.2999999999999999E-2</v>
      </c>
    </row>
    <row r="312" spans="1:34" x14ac:dyDescent="0.3">
      <c r="A312" s="105">
        <v>170</v>
      </c>
      <c r="B312" s="2" t="s">
        <v>499</v>
      </c>
      <c r="C312" s="171">
        <v>63.4</v>
      </c>
      <c r="D312" s="177">
        <v>2.6813879013061523</v>
      </c>
      <c r="E312" s="308">
        <v>3.1861197948455811</v>
      </c>
      <c r="F312" s="178">
        <v>3.3596212863922119</v>
      </c>
      <c r="G312" s="166">
        <v>63.883167266845703</v>
      </c>
      <c r="H312" s="2">
        <v>202</v>
      </c>
      <c r="I312" s="2">
        <v>0</v>
      </c>
      <c r="J312" s="58">
        <v>45782</v>
      </c>
      <c r="K312" s="105">
        <v>170</v>
      </c>
      <c r="L312" s="2" t="s">
        <v>399</v>
      </c>
      <c r="M312" s="171">
        <v>63.69</v>
      </c>
      <c r="N312" s="177">
        <v>2.6691789627075195</v>
      </c>
      <c r="O312" s="308">
        <v>3.1088082790374756</v>
      </c>
      <c r="P312" s="178">
        <v>3.2972209453582764</v>
      </c>
      <c r="Q312" s="166">
        <v>63.389461517333984</v>
      </c>
      <c r="R312" s="2">
        <v>198</v>
      </c>
      <c r="S312" s="2">
        <v>0</v>
      </c>
      <c r="T312" s="34">
        <v>45705</v>
      </c>
      <c r="U312" s="105">
        <v>170</v>
      </c>
      <c r="V312" s="2" t="s">
        <v>435</v>
      </c>
      <c r="W312" s="84">
        <v>67.260000000000005</v>
      </c>
      <c r="X312" s="177">
        <v>2.5275051593780518</v>
      </c>
      <c r="Y312" s="308">
        <v>3.0330061912536621</v>
      </c>
      <c r="Z312" s="308">
        <v>3.1668152809143066</v>
      </c>
      <c r="AA312" s="159">
        <v>57.776531219482422</v>
      </c>
      <c r="AB312" s="2">
        <v>204</v>
      </c>
      <c r="AC312" s="2">
        <v>0</v>
      </c>
      <c r="AD312" s="34">
        <v>45754</v>
      </c>
      <c r="AF312" s="12">
        <v>0.01</v>
      </c>
      <c r="AG312" s="12">
        <v>0.25</v>
      </c>
      <c r="AH312" s="144">
        <v>5.0000000000000001E-3</v>
      </c>
    </row>
    <row r="313" spans="1:34" x14ac:dyDescent="0.3">
      <c r="A313" s="105">
        <v>171</v>
      </c>
      <c r="B313" s="2" t="s">
        <v>410</v>
      </c>
      <c r="C313" s="16">
        <v>59.24</v>
      </c>
      <c r="D313" s="176">
        <v>2.8865630626678467</v>
      </c>
      <c r="E313" s="178">
        <v>3.2579338550567627</v>
      </c>
      <c r="F313" s="178">
        <v>3.4098579883575439</v>
      </c>
      <c r="G313" s="163">
        <v>72.117347717285156</v>
      </c>
      <c r="H313" s="2">
        <v>193</v>
      </c>
      <c r="I313" s="2">
        <v>0</v>
      </c>
      <c r="J313" s="58">
        <v>45801</v>
      </c>
      <c r="K313" s="105">
        <v>171</v>
      </c>
      <c r="L313" s="2" t="s">
        <v>544</v>
      </c>
      <c r="M313" s="84">
        <v>65.58</v>
      </c>
      <c r="N313" s="177">
        <v>2.6075022220611572</v>
      </c>
      <c r="O313" s="176">
        <v>2.9429702758789063</v>
      </c>
      <c r="P313" s="308">
        <v>3.1412014961242676</v>
      </c>
      <c r="Q313" s="159">
        <v>60.669990539550781</v>
      </c>
      <c r="R313" s="2">
        <v>193</v>
      </c>
      <c r="S313" s="2">
        <v>0</v>
      </c>
      <c r="T313" s="34">
        <v>45761</v>
      </c>
      <c r="U313" s="105">
        <v>171</v>
      </c>
      <c r="V313" s="2" t="s">
        <v>521</v>
      </c>
      <c r="W313" s="85">
        <v>68.55</v>
      </c>
      <c r="X313" s="179">
        <v>2.4945294857025146</v>
      </c>
      <c r="Y313" s="176">
        <v>2.9029903411865234</v>
      </c>
      <c r="Z313" s="308">
        <v>3.1655724048614502</v>
      </c>
      <c r="AA313" s="159">
        <v>56.269447326660156</v>
      </c>
      <c r="AB313" s="2">
        <v>199</v>
      </c>
      <c r="AC313" s="2">
        <v>0</v>
      </c>
      <c r="AD313" s="34">
        <v>45730</v>
      </c>
      <c r="AF313" s="12">
        <v>0.28000000000000003</v>
      </c>
      <c r="AG313" s="12">
        <v>5.7200000000000006</v>
      </c>
      <c r="AH313" s="144">
        <v>0.107</v>
      </c>
    </row>
    <row r="314" spans="1:34" x14ac:dyDescent="0.3">
      <c r="A314" s="105">
        <v>172</v>
      </c>
      <c r="B314" s="2" t="s">
        <v>429</v>
      </c>
      <c r="C314" s="82">
        <v>61.62</v>
      </c>
      <c r="D314" s="176">
        <v>2.7913014888763428</v>
      </c>
      <c r="E314" s="178">
        <v>3.4079844951629639</v>
      </c>
      <c r="F314" s="310">
        <v>3.6189548969268799</v>
      </c>
      <c r="G314" s="166">
        <v>67.840782165527344</v>
      </c>
      <c r="H314" s="2">
        <v>210</v>
      </c>
      <c r="I314" s="2">
        <v>0</v>
      </c>
      <c r="J314" s="58">
        <v>45783</v>
      </c>
      <c r="K314" s="105">
        <v>172</v>
      </c>
      <c r="L314" s="2" t="s">
        <v>455</v>
      </c>
      <c r="M314" s="171">
        <v>63.04</v>
      </c>
      <c r="N314" s="177">
        <v>2.728426456451416</v>
      </c>
      <c r="O314" s="178">
        <v>3.299492359161377</v>
      </c>
      <c r="P314" s="178">
        <v>3.4898476600646973</v>
      </c>
      <c r="Q314" s="166">
        <v>65.263465881347656</v>
      </c>
      <c r="R314" s="2">
        <v>208</v>
      </c>
      <c r="S314" s="2">
        <v>0</v>
      </c>
      <c r="T314" s="34">
        <v>45805</v>
      </c>
      <c r="U314" s="105">
        <v>172</v>
      </c>
      <c r="V314" s="2" t="s">
        <v>530</v>
      </c>
      <c r="W314" s="85">
        <v>69.260000000000005</v>
      </c>
      <c r="X314" s="179">
        <v>2.4833958148956299</v>
      </c>
      <c r="Y314" s="308">
        <v>3.0609297752380371</v>
      </c>
      <c r="Z314" s="308">
        <v>3.2341899871826172</v>
      </c>
      <c r="AA314" s="157">
        <v>55.615703582763672</v>
      </c>
      <c r="AB314" s="2">
        <v>212</v>
      </c>
      <c r="AC314" s="2">
        <v>0</v>
      </c>
      <c r="AD314" s="34">
        <v>45774</v>
      </c>
      <c r="AF314" s="12">
        <v>0.06</v>
      </c>
      <c r="AG314" s="12">
        <v>1.2899999999999998</v>
      </c>
      <c r="AH314" s="144">
        <v>2.3E-2</v>
      </c>
    </row>
    <row r="315" spans="1:34" x14ac:dyDescent="0.3">
      <c r="A315" s="105">
        <v>173</v>
      </c>
      <c r="B315" s="2" t="s">
        <v>478</v>
      </c>
      <c r="C315" s="84">
        <v>66.680000000000007</v>
      </c>
      <c r="D315" s="177">
        <v>2.5944809913635254</v>
      </c>
      <c r="E315" s="176">
        <v>2.9694061279296875</v>
      </c>
      <c r="F315" s="308">
        <v>3.1643671989440918</v>
      </c>
      <c r="G315" s="159">
        <v>59.668186187744141</v>
      </c>
      <c r="H315" s="2">
        <v>198</v>
      </c>
      <c r="I315" s="2">
        <v>0</v>
      </c>
      <c r="J315" s="58">
        <v>45767</v>
      </c>
      <c r="K315" s="105">
        <v>173</v>
      </c>
      <c r="L315" s="2" t="s">
        <v>448</v>
      </c>
      <c r="M315" s="84">
        <v>67.36</v>
      </c>
      <c r="N315" s="177">
        <v>2.5682897567749023</v>
      </c>
      <c r="O315" s="308">
        <v>3.117577075958252</v>
      </c>
      <c r="P315" s="178">
        <v>3.2660331726074219</v>
      </c>
      <c r="Q315" s="159">
        <v>58.647815704345703</v>
      </c>
      <c r="R315" s="2">
        <v>210</v>
      </c>
      <c r="S315" s="2">
        <v>0</v>
      </c>
      <c r="T315" s="34">
        <v>45772</v>
      </c>
      <c r="U315" s="105">
        <v>173</v>
      </c>
      <c r="V315" s="2" t="s">
        <v>469</v>
      </c>
      <c r="W315" s="85">
        <v>68.05</v>
      </c>
      <c r="X315" s="177">
        <v>2.5422482490539551</v>
      </c>
      <c r="Y315" s="308">
        <v>3.0271856784820557</v>
      </c>
      <c r="Z315" s="308">
        <v>3.2476119995117188</v>
      </c>
      <c r="AA315" s="159">
        <v>57.640468597412109</v>
      </c>
      <c r="AB315" s="2">
        <v>206</v>
      </c>
      <c r="AC315" s="2">
        <v>0</v>
      </c>
      <c r="AD315" s="34">
        <v>45800</v>
      </c>
      <c r="AF315" s="12">
        <v>0.03</v>
      </c>
      <c r="AG315" s="12">
        <v>0.54</v>
      </c>
      <c r="AH315" s="144">
        <v>0.01</v>
      </c>
    </row>
    <row r="316" spans="1:34" x14ac:dyDescent="0.3">
      <c r="A316" s="105">
        <v>174</v>
      </c>
      <c r="B316" s="2" t="s">
        <v>424</v>
      </c>
      <c r="C316" s="171">
        <v>64.89</v>
      </c>
      <c r="D316" s="177">
        <v>2.6814608573913574</v>
      </c>
      <c r="E316" s="178">
        <v>3.3132994174957275</v>
      </c>
      <c r="F316" s="310">
        <v>3.5290491580963135</v>
      </c>
      <c r="G316" s="166">
        <v>62.854488372802734</v>
      </c>
      <c r="H316" s="2">
        <v>215</v>
      </c>
      <c r="I316" s="2">
        <v>0</v>
      </c>
      <c r="J316" s="58">
        <v>45809</v>
      </c>
      <c r="K316" s="105">
        <v>174</v>
      </c>
      <c r="L316" s="2" t="s">
        <v>492</v>
      </c>
      <c r="M316" s="84">
        <v>65.67</v>
      </c>
      <c r="N316" s="177">
        <v>2.6496117115020752</v>
      </c>
      <c r="O316" s="308">
        <v>3.1521244049072266</v>
      </c>
      <c r="P316" s="178">
        <v>3.3500838279724121</v>
      </c>
      <c r="Q316" s="159">
        <v>61.590625762939453</v>
      </c>
      <c r="R316" s="2">
        <v>207</v>
      </c>
      <c r="S316" s="2">
        <v>0</v>
      </c>
      <c r="T316" s="34">
        <v>45772</v>
      </c>
      <c r="U316" s="105">
        <v>174</v>
      </c>
      <c r="V316" s="2" t="s">
        <v>435</v>
      </c>
      <c r="W316" s="84">
        <v>67.03</v>
      </c>
      <c r="X316" s="177">
        <v>2.5958526134490967</v>
      </c>
      <c r="Y316" s="308">
        <v>3.1329255104064941</v>
      </c>
      <c r="Z316" s="178">
        <v>3.2671937942504883</v>
      </c>
      <c r="AA316" s="159">
        <v>59.481353759765625</v>
      </c>
      <c r="AB316" s="2">
        <v>210</v>
      </c>
      <c r="AC316" s="2">
        <v>0</v>
      </c>
      <c r="AD316" s="34">
        <v>45794</v>
      </c>
      <c r="AF316" s="12">
        <v>0.03</v>
      </c>
      <c r="AG316" s="12">
        <v>0.65</v>
      </c>
      <c r="AH316" s="144">
        <v>1.2E-2</v>
      </c>
    </row>
    <row r="317" spans="1:34" x14ac:dyDescent="0.3">
      <c r="A317" s="105">
        <v>175</v>
      </c>
      <c r="B317" s="2" t="s">
        <v>501</v>
      </c>
      <c r="C317" s="84">
        <v>65.34</v>
      </c>
      <c r="D317" s="177">
        <v>2.6782982349395752</v>
      </c>
      <c r="E317" s="308">
        <v>3.1833488941192627</v>
      </c>
      <c r="F317" s="178">
        <v>3.3057854175567627</v>
      </c>
      <c r="G317" s="159">
        <v>62.477382659912109</v>
      </c>
      <c r="H317" s="2">
        <v>208</v>
      </c>
      <c r="I317" s="2">
        <v>0</v>
      </c>
      <c r="J317" s="58">
        <v>45804</v>
      </c>
      <c r="K317" s="105">
        <v>175</v>
      </c>
      <c r="L317" s="2" t="s">
        <v>450</v>
      </c>
      <c r="M317" s="85">
        <v>68.55</v>
      </c>
      <c r="N317" s="177">
        <v>2.5528810024261475</v>
      </c>
      <c r="O317" s="308">
        <v>3.223923921585083</v>
      </c>
      <c r="P317" s="178">
        <v>3.428154468536377</v>
      </c>
      <c r="Q317" s="159">
        <v>57.585689544677734</v>
      </c>
      <c r="R317" s="2">
        <v>221</v>
      </c>
      <c r="S317" s="2">
        <v>0</v>
      </c>
      <c r="T317" s="34">
        <v>45768</v>
      </c>
      <c r="U317" s="105">
        <v>175</v>
      </c>
      <c r="V317" s="2" t="s">
        <v>545</v>
      </c>
      <c r="W317" s="85">
        <v>69.22</v>
      </c>
      <c r="X317" s="177">
        <v>2.5281710624694824</v>
      </c>
      <c r="Y317" s="308">
        <v>3.149378776550293</v>
      </c>
      <c r="Z317" s="178">
        <v>3.3227391242980957</v>
      </c>
      <c r="AA317" s="159">
        <v>56.641345977783203</v>
      </c>
      <c r="AB317" s="2">
        <v>218</v>
      </c>
      <c r="AC317" s="2">
        <v>0</v>
      </c>
      <c r="AD317" s="34">
        <v>45760</v>
      </c>
      <c r="AF317" s="12">
        <v>0.13</v>
      </c>
      <c r="AG317" s="12">
        <v>2.5500000000000003</v>
      </c>
      <c r="AH317" s="144">
        <v>4.9000000000000002E-2</v>
      </c>
    </row>
    <row r="318" spans="1:34" x14ac:dyDescent="0.3">
      <c r="A318" s="105">
        <v>176</v>
      </c>
      <c r="B318" s="2" t="s">
        <v>520</v>
      </c>
      <c r="C318" s="85">
        <v>67.52</v>
      </c>
      <c r="D318" s="177">
        <v>2.6066350936889648</v>
      </c>
      <c r="E318" s="308">
        <v>3.11018967628479</v>
      </c>
      <c r="F318" s="178">
        <v>3.3175356388092041</v>
      </c>
      <c r="G318" s="159">
        <v>59.424674987792969</v>
      </c>
      <c r="H318" s="2">
        <v>210</v>
      </c>
      <c r="I318" s="2">
        <v>0</v>
      </c>
      <c r="J318" s="58">
        <v>45800</v>
      </c>
      <c r="K318" s="105">
        <v>176</v>
      </c>
      <c r="L318" s="2" t="s">
        <v>546</v>
      </c>
      <c r="M318" s="85">
        <v>68.11</v>
      </c>
      <c r="N318" s="177">
        <v>2.5840551853179932</v>
      </c>
      <c r="O318" s="308">
        <v>3.20070481300354</v>
      </c>
      <c r="P318" s="310">
        <v>3.5237116813659668</v>
      </c>
      <c r="Q318" s="159">
        <v>58.552230834960938</v>
      </c>
      <c r="R318" s="2">
        <v>218</v>
      </c>
      <c r="S318" s="2">
        <v>0</v>
      </c>
      <c r="T318" s="34">
        <v>45779</v>
      </c>
      <c r="U318" s="105">
        <v>176</v>
      </c>
      <c r="V318" s="2" t="s">
        <v>481</v>
      </c>
      <c r="W318" s="85">
        <v>68.63</v>
      </c>
      <c r="X318" s="177">
        <v>2.5644762516021729</v>
      </c>
      <c r="Y318" s="176">
        <v>2.8704650402069092</v>
      </c>
      <c r="Z318" s="308">
        <v>3.0453155040740967</v>
      </c>
      <c r="AA318" s="159">
        <v>57.800041198730469</v>
      </c>
      <c r="AB318" s="2">
        <v>197</v>
      </c>
      <c r="AC318" s="2">
        <v>0</v>
      </c>
      <c r="AD318" s="34">
        <v>45742</v>
      </c>
      <c r="AF318" s="12">
        <v>0.02</v>
      </c>
      <c r="AG318" s="12">
        <v>0.45</v>
      </c>
      <c r="AH318" s="144">
        <v>8.9999999999999993E-3</v>
      </c>
    </row>
    <row r="319" spans="1:34" x14ac:dyDescent="0.3">
      <c r="A319" s="105">
        <v>177</v>
      </c>
      <c r="B319" s="2" t="s">
        <v>484</v>
      </c>
      <c r="C319" s="171">
        <v>64.41</v>
      </c>
      <c r="D319" s="177">
        <v>2.7480204105377197</v>
      </c>
      <c r="E319" s="178">
        <v>3.2758886814117432</v>
      </c>
      <c r="F319" s="178">
        <v>3.4621951580047607</v>
      </c>
      <c r="G319" s="166">
        <v>64.750312805175781</v>
      </c>
      <c r="H319" s="2">
        <v>211</v>
      </c>
      <c r="I319" s="2">
        <v>0</v>
      </c>
      <c r="J319" s="58">
        <v>45783</v>
      </c>
      <c r="K319" s="105">
        <v>177</v>
      </c>
      <c r="L319" s="2" t="s">
        <v>492</v>
      </c>
      <c r="M319" s="84">
        <v>65.569999999999993</v>
      </c>
      <c r="N319" s="177">
        <v>2.6994051933288574</v>
      </c>
      <c r="O319" s="308">
        <v>3.2331860065460205</v>
      </c>
      <c r="P319" s="178">
        <v>3.3399419784545898</v>
      </c>
      <c r="Q319" s="166">
        <v>62.815052032470703</v>
      </c>
      <c r="R319" s="2">
        <v>212</v>
      </c>
      <c r="S319" s="2">
        <v>0</v>
      </c>
      <c r="T319" s="34">
        <v>45767</v>
      </c>
      <c r="U319" s="105">
        <v>177</v>
      </c>
      <c r="V319" s="2" t="s">
        <v>505</v>
      </c>
      <c r="W319" s="84">
        <v>66.17</v>
      </c>
      <c r="X319" s="177">
        <v>2.6749281883239746</v>
      </c>
      <c r="Y319" s="308">
        <v>3.0527429580688477</v>
      </c>
      <c r="Z319" s="308">
        <v>3.2038688659667969</v>
      </c>
      <c r="AA319" s="159">
        <v>61.849845886230469</v>
      </c>
      <c r="AB319" s="2">
        <v>202</v>
      </c>
      <c r="AC319" s="2">
        <v>0</v>
      </c>
      <c r="AD319" s="34">
        <v>45781</v>
      </c>
      <c r="AF319" s="12">
        <v>0.05</v>
      </c>
      <c r="AG319" s="12">
        <v>0.97000000000000008</v>
      </c>
      <c r="AH319" s="144">
        <v>1.7999999999999999E-2</v>
      </c>
    </row>
    <row r="320" spans="1:34" x14ac:dyDescent="0.3">
      <c r="A320" s="105">
        <v>178</v>
      </c>
      <c r="B320" s="2" t="s">
        <v>439</v>
      </c>
      <c r="C320" s="82">
        <v>62.07</v>
      </c>
      <c r="D320" s="176">
        <v>2.8677299022674561</v>
      </c>
      <c r="E320" s="178">
        <v>3.3671660423278809</v>
      </c>
      <c r="F320" s="310">
        <v>3.5766069889068604</v>
      </c>
      <c r="G320" s="163">
        <v>69.344223022460938</v>
      </c>
      <c r="H320" s="2">
        <v>209</v>
      </c>
      <c r="I320" s="2">
        <v>0</v>
      </c>
      <c r="J320" s="58">
        <v>45779</v>
      </c>
      <c r="K320" s="105">
        <v>178</v>
      </c>
      <c r="L320" s="2" t="s">
        <v>501</v>
      </c>
      <c r="M320" s="85">
        <v>68.010000000000005</v>
      </c>
      <c r="N320" s="177">
        <v>2.6172621250152588</v>
      </c>
      <c r="O320" s="308">
        <v>3.0583736896514893</v>
      </c>
      <c r="P320" s="308">
        <v>3.2348182201385498</v>
      </c>
      <c r="Q320" s="159">
        <v>59.365692138671875</v>
      </c>
      <c r="R320" s="2">
        <v>208</v>
      </c>
      <c r="S320" s="2">
        <v>0</v>
      </c>
      <c r="T320" s="34">
        <v>45765</v>
      </c>
      <c r="U320" s="105">
        <v>178</v>
      </c>
      <c r="V320" s="2" t="s">
        <v>536</v>
      </c>
      <c r="W320" s="85">
        <v>68.47</v>
      </c>
      <c r="X320" s="177">
        <v>2.5996787548065186</v>
      </c>
      <c r="Y320" s="308">
        <v>3.1692712306976318</v>
      </c>
      <c r="Z320" s="178">
        <v>3.3591353893280029</v>
      </c>
      <c r="AA320" s="159">
        <v>58.68927001953125</v>
      </c>
      <c r="AB320" s="2">
        <v>217</v>
      </c>
      <c r="AC320" s="2">
        <v>0</v>
      </c>
      <c r="AD320" s="34">
        <v>45782</v>
      </c>
      <c r="AF320" s="12">
        <v>0.25</v>
      </c>
      <c r="AG320" s="12">
        <v>4.92</v>
      </c>
      <c r="AH320" s="144">
        <v>9.6000000000000002E-2</v>
      </c>
    </row>
    <row r="321" spans="1:34" x14ac:dyDescent="0.3">
      <c r="A321" s="105">
        <v>179</v>
      </c>
      <c r="B321" s="2" t="s">
        <v>520</v>
      </c>
      <c r="C321" s="85">
        <v>68.61</v>
      </c>
      <c r="D321" s="177">
        <v>2.6089491844177246</v>
      </c>
      <c r="E321" s="308">
        <v>3.2065296173095703</v>
      </c>
      <c r="F321" s="178">
        <v>3.3814313411712646</v>
      </c>
      <c r="G321" s="159">
        <v>58.814399719238281</v>
      </c>
      <c r="H321" s="2">
        <v>220</v>
      </c>
      <c r="I321" s="2">
        <v>0</v>
      </c>
      <c r="J321" s="58">
        <v>45804</v>
      </c>
      <c r="K321" s="105">
        <v>179</v>
      </c>
      <c r="L321" s="2" t="s">
        <v>446</v>
      </c>
      <c r="M321" s="85">
        <v>68.84</v>
      </c>
      <c r="N321" s="177">
        <v>2.6002326011657715</v>
      </c>
      <c r="O321" s="308">
        <v>3.1231844425201416</v>
      </c>
      <c r="P321" s="178">
        <v>3.3991866111755371</v>
      </c>
      <c r="Q321" s="159">
        <v>58.480739593505859</v>
      </c>
      <c r="R321" s="2">
        <v>215</v>
      </c>
      <c r="S321" s="2">
        <v>0</v>
      </c>
      <c r="T321" s="34">
        <v>45794</v>
      </c>
      <c r="U321" s="105">
        <v>179</v>
      </c>
      <c r="V321" s="2" t="s">
        <v>396</v>
      </c>
      <c r="W321" s="86">
        <v>70.84</v>
      </c>
      <c r="X321" s="177">
        <v>2.5268211364746094</v>
      </c>
      <c r="Y321" s="308">
        <v>3.0067760944366455</v>
      </c>
      <c r="Z321" s="178">
        <v>3.2608697414398193</v>
      </c>
      <c r="AA321" s="157">
        <v>55.701744079589844</v>
      </c>
      <c r="AB321" s="2">
        <v>213</v>
      </c>
      <c r="AC321" s="2">
        <v>0</v>
      </c>
      <c r="AD321" s="34">
        <v>45731</v>
      </c>
      <c r="AF321" s="12">
        <v>0.01</v>
      </c>
      <c r="AG321" s="12">
        <v>0.17</v>
      </c>
      <c r="AH321" s="144">
        <v>3.0000000000000001E-3</v>
      </c>
    </row>
    <row r="322" spans="1:34" x14ac:dyDescent="0.3">
      <c r="A322" s="105">
        <v>180</v>
      </c>
      <c r="B322" s="2" t="s">
        <v>450</v>
      </c>
      <c r="C322" s="86">
        <v>70.599999999999994</v>
      </c>
      <c r="D322" s="177">
        <v>2.5495750904083252</v>
      </c>
      <c r="E322" s="308">
        <v>3.1586403846740723</v>
      </c>
      <c r="F322" s="178">
        <v>3.4277620315551758</v>
      </c>
      <c r="G322" s="159">
        <v>56.337009429931641</v>
      </c>
      <c r="H322" s="2">
        <v>223</v>
      </c>
      <c r="I322" s="2">
        <v>0</v>
      </c>
      <c r="J322" s="58">
        <v>45751</v>
      </c>
      <c r="K322" s="105">
        <v>180</v>
      </c>
      <c r="L322" s="2" t="s">
        <v>432</v>
      </c>
      <c r="M322" s="86">
        <v>72</v>
      </c>
      <c r="N322" s="177">
        <v>2.5</v>
      </c>
      <c r="O322" s="308">
        <v>3.0972223281860352</v>
      </c>
      <c r="P322" s="308">
        <v>3.2083332538604736</v>
      </c>
      <c r="Q322" s="157">
        <v>54.487453460693359</v>
      </c>
      <c r="R322" s="2">
        <v>223</v>
      </c>
      <c r="S322" s="2">
        <v>0</v>
      </c>
      <c r="T322" s="34">
        <v>45759</v>
      </c>
      <c r="U322" s="105">
        <v>180</v>
      </c>
      <c r="V322" s="2" t="s">
        <v>458</v>
      </c>
      <c r="W322" s="86">
        <v>73.44</v>
      </c>
      <c r="X322" s="179">
        <v>2.4509804248809814</v>
      </c>
      <c r="Y322" s="176">
        <v>2.8867101669311523</v>
      </c>
      <c r="Z322" s="308">
        <v>3.0228757858276367</v>
      </c>
      <c r="AA322" s="157">
        <v>52.683692932128906</v>
      </c>
      <c r="AB322" s="2">
        <v>212</v>
      </c>
      <c r="AC322" s="2">
        <v>0</v>
      </c>
      <c r="AD322" s="34">
        <v>45754</v>
      </c>
      <c r="AF322" s="12">
        <v>0.05</v>
      </c>
      <c r="AG322" s="12">
        <v>0.94</v>
      </c>
      <c r="AH322" s="144">
        <v>0.02</v>
      </c>
    </row>
    <row r="323" spans="1:34" x14ac:dyDescent="0.3">
      <c r="A323" s="105">
        <v>181</v>
      </c>
      <c r="B323" s="2" t="s">
        <v>478</v>
      </c>
      <c r="C323" s="84">
        <v>65.5</v>
      </c>
      <c r="D323" s="176">
        <v>2.7633588314056396</v>
      </c>
      <c r="E323" s="178">
        <v>3.3435113430023193</v>
      </c>
      <c r="F323" s="310">
        <v>3.5572519302368164</v>
      </c>
      <c r="G323" s="166">
        <v>64.351341247558594</v>
      </c>
      <c r="H323" s="2">
        <v>219</v>
      </c>
      <c r="I323" s="2">
        <v>0</v>
      </c>
      <c r="J323" s="58">
        <v>45808</v>
      </c>
      <c r="K323" s="105">
        <v>181</v>
      </c>
      <c r="L323" s="2" t="s">
        <v>536</v>
      </c>
      <c r="M323" s="85">
        <v>68.8</v>
      </c>
      <c r="N323" s="177">
        <v>2.6308138370513916</v>
      </c>
      <c r="O323" s="308">
        <v>3.1686046123504639</v>
      </c>
      <c r="P323" s="178">
        <v>3.357558012008667</v>
      </c>
      <c r="Q323" s="159">
        <v>59.192607879638672</v>
      </c>
      <c r="R323" s="2">
        <v>218</v>
      </c>
      <c r="S323" s="2">
        <v>0</v>
      </c>
      <c r="T323" s="34">
        <v>45806</v>
      </c>
      <c r="U323" s="105">
        <v>181</v>
      </c>
      <c r="V323" s="2" t="s">
        <v>531</v>
      </c>
      <c r="W323" s="86">
        <v>71.599999999999994</v>
      </c>
      <c r="X323" s="177">
        <v>2.5279331207275391</v>
      </c>
      <c r="Y323" s="308">
        <v>3.0726258754730225</v>
      </c>
      <c r="Z323" s="178">
        <v>3.2960894107818604</v>
      </c>
      <c r="AA323" s="157">
        <v>55.311534881591797</v>
      </c>
      <c r="AB323" s="2">
        <v>220</v>
      </c>
      <c r="AC323" s="2">
        <v>0</v>
      </c>
      <c r="AD323" s="34">
        <v>45777</v>
      </c>
      <c r="AF323" s="12">
        <v>0.13</v>
      </c>
      <c r="AG323" s="12">
        <v>2.46</v>
      </c>
      <c r="AH323" s="144">
        <v>0.05</v>
      </c>
    </row>
    <row r="324" spans="1:34" x14ac:dyDescent="0.3">
      <c r="A324" s="105">
        <v>182</v>
      </c>
      <c r="B324" s="2" t="s">
        <v>524</v>
      </c>
      <c r="C324" s="85">
        <v>68.650000000000006</v>
      </c>
      <c r="D324" s="177">
        <v>2.6511287689208984</v>
      </c>
      <c r="E324" s="308">
        <v>3.0007283687591553</v>
      </c>
      <c r="F324" s="308">
        <v>3.1318280696868896</v>
      </c>
      <c r="G324" s="159">
        <v>59.740894317626953</v>
      </c>
      <c r="H324" s="2">
        <v>206</v>
      </c>
      <c r="I324" s="2">
        <v>0</v>
      </c>
      <c r="J324" s="58">
        <v>45808</v>
      </c>
      <c r="K324" s="105">
        <v>182</v>
      </c>
      <c r="L324" s="2" t="s">
        <v>523</v>
      </c>
      <c r="M324" s="85">
        <v>69.349999999999994</v>
      </c>
      <c r="N324" s="177">
        <v>2.6243691444396973</v>
      </c>
      <c r="O324" s="308">
        <v>3.0425379276275635</v>
      </c>
      <c r="P324" s="178">
        <v>3.2732517719268799</v>
      </c>
      <c r="Q324" s="159">
        <v>58.719406127929688</v>
      </c>
      <c r="R324" s="2">
        <v>211</v>
      </c>
      <c r="S324" s="2">
        <v>0</v>
      </c>
      <c r="T324" s="34">
        <v>45764</v>
      </c>
      <c r="U324" s="105">
        <v>182</v>
      </c>
      <c r="V324" s="2" t="s">
        <v>540</v>
      </c>
      <c r="W324" s="86">
        <v>70.22</v>
      </c>
      <c r="X324" s="177">
        <v>2.5918540954589844</v>
      </c>
      <c r="Y324" s="176">
        <v>2.9478781223297119</v>
      </c>
      <c r="Z324" s="308">
        <v>3.1472513675689697</v>
      </c>
      <c r="AA324" s="159">
        <v>57.488006591796875</v>
      </c>
      <c r="AB324" s="2">
        <v>207</v>
      </c>
      <c r="AC324" s="2">
        <v>0</v>
      </c>
      <c r="AD324" s="34">
        <v>45750</v>
      </c>
      <c r="AF324" s="12">
        <v>0.03</v>
      </c>
      <c r="AG324" s="12">
        <v>0.48000000000000004</v>
      </c>
      <c r="AH324" s="144">
        <v>0.01</v>
      </c>
    </row>
    <row r="325" spans="1:34" x14ac:dyDescent="0.3">
      <c r="A325" s="105">
        <v>183</v>
      </c>
      <c r="B325" s="2" t="s">
        <v>448</v>
      </c>
      <c r="C325" s="84">
        <v>65.73</v>
      </c>
      <c r="D325" s="176">
        <v>2.7841167449951172</v>
      </c>
      <c r="E325" s="178">
        <v>3.3165979385375977</v>
      </c>
      <c r="F325" s="310">
        <v>3.5448043346405029</v>
      </c>
      <c r="G325" s="166">
        <v>64.675849914550781</v>
      </c>
      <c r="H325" s="2">
        <v>218</v>
      </c>
      <c r="I325" s="2">
        <v>0</v>
      </c>
      <c r="J325" s="58">
        <v>45806</v>
      </c>
      <c r="K325" s="105">
        <v>183</v>
      </c>
      <c r="L325" s="2" t="s">
        <v>468</v>
      </c>
      <c r="M325" s="84">
        <v>67.430000000000007</v>
      </c>
      <c r="N325" s="177">
        <v>2.7139256000518799</v>
      </c>
      <c r="O325" s="308">
        <v>3.1588313579559326</v>
      </c>
      <c r="P325" s="178">
        <v>3.3516237735748291</v>
      </c>
      <c r="Q325" s="159">
        <v>61.928417205810547</v>
      </c>
      <c r="R325" s="2">
        <v>213</v>
      </c>
      <c r="S325" s="2">
        <v>0</v>
      </c>
      <c r="T325" s="34">
        <v>45809</v>
      </c>
      <c r="U325" s="105">
        <v>183</v>
      </c>
      <c r="V325" s="2" t="s">
        <v>547</v>
      </c>
      <c r="W325" s="85">
        <v>69.73</v>
      </c>
      <c r="X325" s="177">
        <v>2.6244082450866699</v>
      </c>
      <c r="Y325" s="308">
        <v>3.0259571075439453</v>
      </c>
      <c r="Z325" s="178">
        <v>3.2697546482086182</v>
      </c>
      <c r="AA325" s="159">
        <v>58.496097564697266</v>
      </c>
      <c r="AB325" s="2">
        <v>211</v>
      </c>
      <c r="AC325" s="2">
        <v>0</v>
      </c>
      <c r="AD325" s="34">
        <v>45700</v>
      </c>
      <c r="AF325" s="12">
        <v>7.0000000000000007E-2</v>
      </c>
      <c r="AG325" s="12">
        <v>1.24</v>
      </c>
      <c r="AH325" s="144">
        <v>2.5999999999999999E-2</v>
      </c>
    </row>
    <row r="326" spans="1:34" x14ac:dyDescent="0.3">
      <c r="A326" s="105">
        <v>184</v>
      </c>
      <c r="B326" s="2" t="s">
        <v>469</v>
      </c>
      <c r="C326" s="85">
        <v>68.42</v>
      </c>
      <c r="D326" s="177">
        <v>2.6892721652984619</v>
      </c>
      <c r="E326" s="178">
        <v>3.2592809200286865</v>
      </c>
      <c r="F326" s="178">
        <v>3.4931306838989258</v>
      </c>
      <c r="G326" s="159">
        <v>60.742950439453125</v>
      </c>
      <c r="H326" s="2">
        <v>223</v>
      </c>
      <c r="I326" s="2">
        <v>0</v>
      </c>
      <c r="J326" s="58">
        <v>45775</v>
      </c>
      <c r="K326" s="105">
        <v>184</v>
      </c>
      <c r="L326" s="2" t="s">
        <v>480</v>
      </c>
      <c r="M326" s="85">
        <v>68.89</v>
      </c>
      <c r="N326" s="177">
        <v>2.6709246635437012</v>
      </c>
      <c r="O326" s="308">
        <v>3.1644651889801025</v>
      </c>
      <c r="P326" s="308">
        <v>3.2370445728302002</v>
      </c>
      <c r="Q326" s="159">
        <v>60.040122985839844</v>
      </c>
      <c r="R326" s="2">
        <v>218</v>
      </c>
      <c r="S326" s="2">
        <v>0</v>
      </c>
      <c r="T326" s="34">
        <v>45778</v>
      </c>
      <c r="U326" s="105">
        <v>184</v>
      </c>
      <c r="V326" s="2" t="s">
        <v>485</v>
      </c>
      <c r="W326" s="85">
        <v>69.45</v>
      </c>
      <c r="X326" s="177">
        <v>2.6493880748748779</v>
      </c>
      <c r="Y326" s="308">
        <v>3.1965444087982178</v>
      </c>
      <c r="Z326" s="178">
        <v>3.4269258975982666</v>
      </c>
      <c r="AA326" s="159">
        <v>59.219440460205078</v>
      </c>
      <c r="AB326" s="2">
        <v>222</v>
      </c>
      <c r="AC326" s="2">
        <v>0</v>
      </c>
      <c r="AD326" s="34">
        <v>45743</v>
      </c>
      <c r="AF326" s="12">
        <v>0.02</v>
      </c>
      <c r="AG326" s="12">
        <v>0.31</v>
      </c>
      <c r="AH326" s="144">
        <v>7.0000000000000001E-3</v>
      </c>
    </row>
    <row r="327" spans="1:34" x14ac:dyDescent="0.3">
      <c r="A327" s="105">
        <v>185</v>
      </c>
      <c r="B327" s="2" t="s">
        <v>396</v>
      </c>
      <c r="C327" s="85">
        <v>69.900000000000006</v>
      </c>
      <c r="D327" s="177">
        <v>2.6466379165649414</v>
      </c>
      <c r="E327" s="308">
        <v>3.1473534107208252</v>
      </c>
      <c r="F327" s="178">
        <v>3.3762516975402832</v>
      </c>
      <c r="G327" s="159">
        <v>58.89111328125</v>
      </c>
      <c r="H327" s="2">
        <v>220</v>
      </c>
      <c r="I327" s="2">
        <v>0</v>
      </c>
      <c r="J327" s="58">
        <v>45772</v>
      </c>
      <c r="K327" s="105">
        <v>185</v>
      </c>
      <c r="L327" s="2" t="s">
        <v>542</v>
      </c>
      <c r="M327" s="86">
        <v>73.75</v>
      </c>
      <c r="N327" s="177">
        <v>2.508474588394165</v>
      </c>
      <c r="O327" s="308">
        <v>3.0508475303649902</v>
      </c>
      <c r="P327" s="178">
        <v>3.3355932235717773</v>
      </c>
      <c r="Q327" s="157">
        <v>53.760776519775391</v>
      </c>
      <c r="R327" s="2">
        <v>225</v>
      </c>
      <c r="S327" s="2">
        <v>0</v>
      </c>
      <c r="T327" s="34">
        <v>45757</v>
      </c>
      <c r="U327" s="105">
        <v>185</v>
      </c>
      <c r="V327" s="2" t="s">
        <v>489</v>
      </c>
      <c r="W327" s="87">
        <v>78.790000000000006</v>
      </c>
      <c r="X327" s="179">
        <v>2.3480136394500732</v>
      </c>
      <c r="Y327" s="176">
        <v>2.9318439960479736</v>
      </c>
      <c r="Z327" s="308">
        <v>3.1095316410064697</v>
      </c>
      <c r="AA327" s="158">
        <v>48.046318054199219</v>
      </c>
      <c r="AB327" s="2">
        <v>231</v>
      </c>
      <c r="AC327" s="2">
        <v>0</v>
      </c>
      <c r="AD327" s="34">
        <v>45800</v>
      </c>
      <c r="AF327" s="12">
        <v>0.14000000000000001</v>
      </c>
      <c r="AG327" s="12">
        <v>2.2999999999999998</v>
      </c>
      <c r="AH327" s="144">
        <v>5.5E-2</v>
      </c>
    </row>
    <row r="328" spans="1:34" x14ac:dyDescent="0.3">
      <c r="A328" s="105">
        <v>186</v>
      </c>
      <c r="B328" s="2" t="s">
        <v>487</v>
      </c>
      <c r="C328" s="86">
        <v>71.260000000000005</v>
      </c>
      <c r="D328" s="177">
        <v>2.6101598739624023</v>
      </c>
      <c r="E328" s="308">
        <v>3.0311534404754639</v>
      </c>
      <c r="F328" s="308">
        <v>3.2276170253753662</v>
      </c>
      <c r="G328" s="159">
        <v>57.301277160644531</v>
      </c>
      <c r="H328" s="2">
        <v>216</v>
      </c>
      <c r="I328" s="2">
        <v>0</v>
      </c>
      <c r="J328" s="58">
        <v>45776</v>
      </c>
      <c r="K328" s="105">
        <v>186</v>
      </c>
      <c r="L328" s="2" t="s">
        <v>393</v>
      </c>
      <c r="M328" s="86">
        <v>72.97</v>
      </c>
      <c r="N328" s="177">
        <v>2.5489926338195801</v>
      </c>
      <c r="O328" s="176">
        <v>2.8778948783874512</v>
      </c>
      <c r="P328" s="308">
        <v>3.0423460006713867</v>
      </c>
      <c r="Q328" s="157">
        <v>55.037258148193359</v>
      </c>
      <c r="R328" s="2">
        <v>210</v>
      </c>
      <c r="S328" s="2">
        <v>0</v>
      </c>
      <c r="T328" s="34">
        <v>45775</v>
      </c>
      <c r="U328" s="105">
        <v>186</v>
      </c>
      <c r="V328" s="2" t="s">
        <v>548</v>
      </c>
      <c r="W328" s="86">
        <v>74.31</v>
      </c>
      <c r="X328" s="177">
        <v>2.5030279159545898</v>
      </c>
      <c r="Y328" s="176">
        <v>2.9201991558074951</v>
      </c>
      <c r="Z328" s="308">
        <v>3.095142126083374</v>
      </c>
      <c r="AA328" s="157">
        <v>53.360740661621094</v>
      </c>
      <c r="AB328" s="2">
        <v>217</v>
      </c>
      <c r="AC328" s="2">
        <v>0</v>
      </c>
      <c r="AD328" s="34">
        <v>45765</v>
      </c>
      <c r="AF328" s="12">
        <v>0.06</v>
      </c>
      <c r="AG328" s="12">
        <v>0.98</v>
      </c>
      <c r="AH328" s="144">
        <v>2.4E-2</v>
      </c>
    </row>
    <row r="329" spans="1:34" x14ac:dyDescent="0.3">
      <c r="A329" s="105">
        <v>187</v>
      </c>
      <c r="B329" s="2" t="s">
        <v>469</v>
      </c>
      <c r="C329" s="86">
        <v>70.88</v>
      </c>
      <c r="D329" s="177">
        <v>2.6382620334625244</v>
      </c>
      <c r="E329" s="308">
        <v>3.132054328918457</v>
      </c>
      <c r="F329" s="178">
        <v>3.3718962669372559</v>
      </c>
      <c r="G329" s="159">
        <v>58.135391235351563</v>
      </c>
      <c r="H329" s="2">
        <v>222</v>
      </c>
      <c r="I329" s="2">
        <v>0</v>
      </c>
      <c r="J329" s="58">
        <v>45782</v>
      </c>
      <c r="K329" s="105">
        <v>187</v>
      </c>
      <c r="L329" s="2" t="s">
        <v>446</v>
      </c>
      <c r="M329" s="86">
        <v>71.08</v>
      </c>
      <c r="N329" s="177">
        <v>2.6308383941650391</v>
      </c>
      <c r="O329" s="308">
        <v>3.207653284072876</v>
      </c>
      <c r="P329" s="178">
        <v>3.3764770030975342</v>
      </c>
      <c r="Q329" s="159">
        <v>57.857578277587891</v>
      </c>
      <c r="R329" s="2">
        <v>228</v>
      </c>
      <c r="S329" s="2">
        <v>0</v>
      </c>
      <c r="T329" s="34">
        <v>45786</v>
      </c>
      <c r="U329" s="105">
        <v>187</v>
      </c>
      <c r="V329" s="2" t="s">
        <v>478</v>
      </c>
      <c r="W329" s="86">
        <v>71.5</v>
      </c>
      <c r="X329" s="177">
        <v>2.615384578704834</v>
      </c>
      <c r="Y329" s="308">
        <v>3.0909090042114258</v>
      </c>
      <c r="Z329" s="308">
        <v>3.230769157409668</v>
      </c>
      <c r="AA329" s="159">
        <v>57.281002044677734</v>
      </c>
      <c r="AB329" s="2">
        <v>221</v>
      </c>
      <c r="AC329" s="2">
        <v>0</v>
      </c>
      <c r="AD329" s="34">
        <v>45765</v>
      </c>
      <c r="AF329" s="12">
        <v>0.01</v>
      </c>
      <c r="AG329" s="12">
        <v>0.12000000000000001</v>
      </c>
      <c r="AH329" s="144">
        <v>3.0000000000000001E-3</v>
      </c>
    </row>
    <row r="330" spans="1:34" x14ac:dyDescent="0.3">
      <c r="A330" s="105">
        <v>188</v>
      </c>
      <c r="B330" s="2" t="s">
        <v>475</v>
      </c>
      <c r="C330" s="85">
        <v>67.63</v>
      </c>
      <c r="D330" s="176">
        <v>2.7798316478729248</v>
      </c>
      <c r="E330" s="178">
        <v>3.40085768699646</v>
      </c>
      <c r="F330" s="310">
        <v>3.6226527690887451</v>
      </c>
      <c r="G330" s="166">
        <v>63.300945281982422</v>
      </c>
      <c r="H330" s="2">
        <v>230</v>
      </c>
      <c r="I330" s="2">
        <v>0</v>
      </c>
      <c r="J330" s="58">
        <v>45807</v>
      </c>
      <c r="K330" s="105">
        <v>188</v>
      </c>
      <c r="L330" s="2" t="s">
        <v>521</v>
      </c>
      <c r="M330" s="86">
        <v>72.540000000000006</v>
      </c>
      <c r="N330" s="177">
        <v>2.5916736125946045</v>
      </c>
      <c r="O330" s="308">
        <v>3.0741658210754395</v>
      </c>
      <c r="P330" s="308">
        <v>3.2258064746856689</v>
      </c>
      <c r="Q330" s="157">
        <v>56.190807342529297</v>
      </c>
      <c r="R330" s="2">
        <v>223</v>
      </c>
      <c r="S330" s="2">
        <v>0</v>
      </c>
      <c r="T330" s="34">
        <v>45696</v>
      </c>
      <c r="U330" s="105">
        <v>188</v>
      </c>
      <c r="V330" s="2" t="s">
        <v>432</v>
      </c>
      <c r="W330" s="88">
        <v>81.12</v>
      </c>
      <c r="X330" s="179">
        <v>2.317554235458374</v>
      </c>
      <c r="Y330" s="176">
        <v>2.8476331233978271</v>
      </c>
      <c r="Z330" s="308">
        <v>3.0325443744659424</v>
      </c>
      <c r="AA330" s="158">
        <v>46.465389251708984</v>
      </c>
      <c r="AB330" s="2">
        <v>231</v>
      </c>
      <c r="AC330" s="2">
        <v>0</v>
      </c>
      <c r="AD330" s="34">
        <v>45745</v>
      </c>
      <c r="AF330" s="12">
        <v>0.19</v>
      </c>
      <c r="AG330" s="12">
        <v>2.81</v>
      </c>
      <c r="AH330" s="144">
        <v>7.2999999999999995E-2</v>
      </c>
    </row>
    <row r="331" spans="1:34" x14ac:dyDescent="0.3">
      <c r="A331" s="105">
        <v>189</v>
      </c>
      <c r="B331" s="2" t="s">
        <v>487</v>
      </c>
      <c r="C331" s="86">
        <v>71.459999999999994</v>
      </c>
      <c r="D331" s="177">
        <v>2.6448361873626709</v>
      </c>
      <c r="E331" s="308">
        <v>3.0506577491760254</v>
      </c>
      <c r="F331" s="308">
        <v>3.2325778007507324</v>
      </c>
      <c r="G331" s="159">
        <v>57.948734283447266</v>
      </c>
      <c r="H331" s="2">
        <v>218</v>
      </c>
      <c r="I331" s="2">
        <v>0</v>
      </c>
      <c r="J331" s="58">
        <v>45775</v>
      </c>
      <c r="K331" s="105">
        <v>189</v>
      </c>
      <c r="L331" s="2" t="s">
        <v>515</v>
      </c>
      <c r="M331" s="87">
        <v>77.33</v>
      </c>
      <c r="N331" s="179">
        <v>2.4440708160400391</v>
      </c>
      <c r="O331" s="177">
        <v>2.7414975166320801</v>
      </c>
      <c r="P331" s="176">
        <v>2.9354712963104248</v>
      </c>
      <c r="Q331" s="157">
        <v>50.670993804931641</v>
      </c>
      <c r="R331" s="2">
        <v>212</v>
      </c>
      <c r="S331" s="2">
        <v>0</v>
      </c>
      <c r="T331" s="34">
        <v>45770</v>
      </c>
      <c r="U331" s="105">
        <v>189</v>
      </c>
      <c r="V331" s="2" t="s">
        <v>547</v>
      </c>
      <c r="W331" s="87">
        <v>77.459999999999994</v>
      </c>
      <c r="X331" s="179">
        <v>2.4399690628051758</v>
      </c>
      <c r="Y331" s="176">
        <v>2.8789052963256836</v>
      </c>
      <c r="Z331" s="308">
        <v>3.1629228591918945</v>
      </c>
      <c r="AA331" s="157">
        <v>50.526512145996094</v>
      </c>
      <c r="AB331" s="2">
        <v>223</v>
      </c>
      <c r="AC331" s="2">
        <v>0</v>
      </c>
      <c r="AD331" s="34">
        <v>45744</v>
      </c>
      <c r="AF331" s="12">
        <v>0.2</v>
      </c>
      <c r="AG331" s="12">
        <v>2.87</v>
      </c>
      <c r="AH331" s="144">
        <v>8.2000000000000003E-2</v>
      </c>
    </row>
    <row r="332" spans="1:34" x14ac:dyDescent="0.3">
      <c r="A332" s="105">
        <v>190</v>
      </c>
      <c r="B332" s="2" t="s">
        <v>543</v>
      </c>
      <c r="C332" s="86">
        <v>72.459999999999994</v>
      </c>
      <c r="D332" s="177">
        <v>2.6221363544464111</v>
      </c>
      <c r="E332" s="308">
        <v>3.1879658699035645</v>
      </c>
      <c r="F332" s="178">
        <v>3.4225780963897705</v>
      </c>
      <c r="G332" s="159">
        <v>56.895210266113281</v>
      </c>
      <c r="H332" s="2">
        <v>231</v>
      </c>
      <c r="I332" s="2">
        <v>0</v>
      </c>
      <c r="J332" s="58">
        <v>45773</v>
      </c>
      <c r="K332" s="105">
        <v>190</v>
      </c>
      <c r="L332" s="2" t="s">
        <v>469</v>
      </c>
      <c r="M332" s="86">
        <v>72.78</v>
      </c>
      <c r="N332" s="177">
        <v>2.610607385635376</v>
      </c>
      <c r="O332" s="308">
        <v>3.0915086269378662</v>
      </c>
      <c r="P332" s="178">
        <v>3.2976093292236328</v>
      </c>
      <c r="Q332" s="159">
        <v>56.470600128173828</v>
      </c>
      <c r="R332" s="2">
        <v>225</v>
      </c>
      <c r="S332" s="2">
        <v>0</v>
      </c>
      <c r="T332" s="34">
        <v>45699</v>
      </c>
      <c r="U332" s="105">
        <v>190</v>
      </c>
      <c r="V332" s="2" t="s">
        <v>489</v>
      </c>
      <c r="W332" s="87">
        <v>75.489999999999995</v>
      </c>
      <c r="X332" s="177">
        <v>2.5168898105621338</v>
      </c>
      <c r="Y332" s="176">
        <v>2.980527400970459</v>
      </c>
      <c r="Z332" s="308">
        <v>3.1659822463989258</v>
      </c>
      <c r="AA332" s="157">
        <v>53.067771911621094</v>
      </c>
      <c r="AB332" s="2">
        <v>225</v>
      </c>
      <c r="AC332" s="2">
        <v>0</v>
      </c>
      <c r="AD332" s="34">
        <v>45765</v>
      </c>
      <c r="AF332" s="12">
        <v>0.01</v>
      </c>
      <c r="AG332" s="12">
        <v>0.16</v>
      </c>
      <c r="AH332" s="144">
        <v>4.0000000000000001E-3</v>
      </c>
    </row>
    <row r="333" spans="1:34" x14ac:dyDescent="0.3">
      <c r="A333" s="105">
        <v>191</v>
      </c>
      <c r="B333" s="2" t="s">
        <v>549</v>
      </c>
      <c r="C333" s="86">
        <v>71.78</v>
      </c>
      <c r="D333" s="177">
        <v>2.6609084606170654</v>
      </c>
      <c r="E333" s="308">
        <v>3.1206464767456055</v>
      </c>
      <c r="F333" s="178">
        <v>3.3296182155609131</v>
      </c>
      <c r="G333" s="159">
        <v>58.118816375732422</v>
      </c>
      <c r="H333" s="2">
        <v>224</v>
      </c>
      <c r="I333" s="2">
        <v>0</v>
      </c>
      <c r="J333" s="58">
        <v>45749</v>
      </c>
      <c r="K333" s="105">
        <v>191</v>
      </c>
      <c r="L333" s="2" t="s">
        <v>486</v>
      </c>
      <c r="M333" s="86">
        <v>73.760000000000005</v>
      </c>
      <c r="N333" s="177">
        <v>2.5894792079925537</v>
      </c>
      <c r="O333" s="308">
        <v>3.1724510192871094</v>
      </c>
      <c r="P333" s="178">
        <v>3.3758132457733154</v>
      </c>
      <c r="Q333" s="157">
        <v>55.491573333740234</v>
      </c>
      <c r="R333" s="2">
        <v>234</v>
      </c>
      <c r="S333" s="2">
        <v>0</v>
      </c>
      <c r="T333" s="34">
        <v>45807</v>
      </c>
      <c r="U333" s="105">
        <v>191</v>
      </c>
      <c r="V333" s="2" t="s">
        <v>485</v>
      </c>
      <c r="W333" s="86">
        <v>74.52</v>
      </c>
      <c r="X333" s="177">
        <v>2.56307053565979</v>
      </c>
      <c r="Y333" s="308">
        <v>3.0864198207855225</v>
      </c>
      <c r="Z333" s="178">
        <v>3.2608697414398193</v>
      </c>
      <c r="AA333" s="157">
        <v>54.532928466796875</v>
      </c>
      <c r="AB333" s="2">
        <v>230</v>
      </c>
      <c r="AC333" s="2">
        <v>0</v>
      </c>
      <c r="AD333" s="34">
        <v>45766</v>
      </c>
      <c r="AF333" s="12">
        <v>7.0000000000000007E-2</v>
      </c>
      <c r="AG333" s="12">
        <v>0.94</v>
      </c>
      <c r="AH333" s="144">
        <v>2.8000000000000001E-2</v>
      </c>
    </row>
    <row r="334" spans="1:34" x14ac:dyDescent="0.3">
      <c r="A334" s="105">
        <v>192</v>
      </c>
      <c r="B334" s="2" t="s">
        <v>477</v>
      </c>
      <c r="C334" s="85">
        <v>69.11</v>
      </c>
      <c r="D334" s="176">
        <v>2.7781796455383301</v>
      </c>
      <c r="E334" s="178">
        <v>3.385906457901001</v>
      </c>
      <c r="F334" s="310">
        <v>3.6174213886260986</v>
      </c>
      <c r="G334" s="159">
        <v>62.311897277832031</v>
      </c>
      <c r="H334" s="2">
        <v>234</v>
      </c>
      <c r="I334" s="2">
        <v>0</v>
      </c>
      <c r="J334" s="58">
        <v>45806</v>
      </c>
      <c r="K334" s="105">
        <v>192</v>
      </c>
      <c r="L334" s="2" t="s">
        <v>505</v>
      </c>
      <c r="M334" s="86">
        <v>72.05</v>
      </c>
      <c r="N334" s="177">
        <v>2.6648159027099609</v>
      </c>
      <c r="O334" s="308">
        <v>3.0950727462768555</v>
      </c>
      <c r="P334" s="308">
        <v>3.2477445602416992</v>
      </c>
      <c r="Q334" s="159">
        <v>58.051399230957031</v>
      </c>
      <c r="R334" s="2">
        <v>223</v>
      </c>
      <c r="S334" s="2">
        <v>0</v>
      </c>
      <c r="T334" s="34">
        <v>45765</v>
      </c>
      <c r="U334" s="105">
        <v>192</v>
      </c>
      <c r="V334" s="2" t="s">
        <v>494</v>
      </c>
      <c r="W334" s="86">
        <v>72.290000000000006</v>
      </c>
      <c r="X334" s="177">
        <v>2.6559689044952393</v>
      </c>
      <c r="Y334" s="308">
        <v>3.098630428314209</v>
      </c>
      <c r="Z334" s="178">
        <v>3.3199613094329834</v>
      </c>
      <c r="AA334" s="159">
        <v>57.724143981933594</v>
      </c>
      <c r="AB334" s="2">
        <v>224</v>
      </c>
      <c r="AC334" s="2">
        <v>0</v>
      </c>
      <c r="AD334" s="34">
        <v>45805</v>
      </c>
      <c r="AF334" s="12">
        <v>0.11</v>
      </c>
      <c r="AG334" s="12">
        <v>1.42</v>
      </c>
      <c r="AH334" s="144">
        <v>4.2999999999999997E-2</v>
      </c>
    </row>
    <row r="335" spans="1:34" x14ac:dyDescent="0.3">
      <c r="A335" s="105">
        <v>193</v>
      </c>
      <c r="B335" s="2" t="s">
        <v>489</v>
      </c>
      <c r="C335" s="86">
        <v>71.28</v>
      </c>
      <c r="D335" s="177">
        <v>2.7076318264007568</v>
      </c>
      <c r="E335" s="308">
        <v>3.2126824855804443</v>
      </c>
      <c r="F335" s="178">
        <v>3.395061731338501</v>
      </c>
      <c r="G335" s="159">
        <v>59.429420471191406</v>
      </c>
      <c r="H335" s="2">
        <v>229</v>
      </c>
      <c r="I335" s="2">
        <v>0</v>
      </c>
      <c r="J335" s="58">
        <v>45797</v>
      </c>
      <c r="K335" s="105">
        <v>193</v>
      </c>
      <c r="L335" s="2" t="s">
        <v>500</v>
      </c>
      <c r="M335" s="86">
        <v>72.23</v>
      </c>
      <c r="N335" s="177">
        <v>2.6720197200775146</v>
      </c>
      <c r="O335" s="178">
        <v>3.3088743686676025</v>
      </c>
      <c r="P335" s="310">
        <v>3.5303888320922852</v>
      </c>
      <c r="Q335" s="159">
        <v>58.10675048828125</v>
      </c>
      <c r="R335" s="2">
        <v>239</v>
      </c>
      <c r="S335" s="2">
        <v>0</v>
      </c>
      <c r="T335" s="34">
        <v>45768</v>
      </c>
      <c r="U335" s="105">
        <v>193</v>
      </c>
      <c r="V335" s="2" t="s">
        <v>475</v>
      </c>
      <c r="W335" s="87">
        <v>75.98</v>
      </c>
      <c r="X335" s="177">
        <v>2.5401420593261719</v>
      </c>
      <c r="Y335" s="308">
        <v>3.0271122455596924</v>
      </c>
      <c r="Z335" s="178">
        <v>3.2771780490875244</v>
      </c>
      <c r="AA335" s="157">
        <v>53.316020965576172</v>
      </c>
      <c r="AB335" s="2">
        <v>230</v>
      </c>
      <c r="AC335" s="2">
        <v>0</v>
      </c>
      <c r="AD335" s="34">
        <v>45707</v>
      </c>
      <c r="AF335" s="12">
        <v>0.04</v>
      </c>
      <c r="AG335" s="12">
        <v>0.42000000000000004</v>
      </c>
      <c r="AH335" s="144">
        <v>1.2999999999999999E-2</v>
      </c>
    </row>
    <row r="336" spans="1:34" x14ac:dyDescent="0.3">
      <c r="A336" s="105">
        <v>194</v>
      </c>
      <c r="B336" s="2" t="s">
        <v>473</v>
      </c>
      <c r="C336" s="85">
        <v>69.680000000000007</v>
      </c>
      <c r="D336" s="176">
        <v>2.7841560840606689</v>
      </c>
      <c r="E336" s="178">
        <v>3.3295063972473145</v>
      </c>
      <c r="F336" s="310">
        <v>3.6021814346313477</v>
      </c>
      <c r="G336" s="159">
        <v>62.087924957275391</v>
      </c>
      <c r="H336" s="2">
        <v>232</v>
      </c>
      <c r="I336" s="2">
        <v>0</v>
      </c>
      <c r="J336" s="58">
        <v>45807</v>
      </c>
      <c r="K336" s="105">
        <v>194</v>
      </c>
      <c r="L336" s="2" t="s">
        <v>480</v>
      </c>
      <c r="M336" s="86">
        <v>74.38</v>
      </c>
      <c r="N336" s="177">
        <v>2.6082282066345215</v>
      </c>
      <c r="O336" s="308">
        <v>3.0518958568572998</v>
      </c>
      <c r="P336" s="308">
        <v>3.2401185035705566</v>
      </c>
      <c r="Q336" s="157">
        <v>55.566818237304688</v>
      </c>
      <c r="R336" s="2">
        <v>227</v>
      </c>
      <c r="S336" s="2">
        <v>0</v>
      </c>
      <c r="T336" s="34">
        <v>45777</v>
      </c>
      <c r="U336" s="105">
        <v>194</v>
      </c>
      <c r="V336" s="2" t="s">
        <v>501</v>
      </c>
      <c r="W336" s="87">
        <v>78.09</v>
      </c>
      <c r="X336" s="179">
        <v>2.4843130111694336</v>
      </c>
      <c r="Y336" s="176">
        <v>2.8940966129302979</v>
      </c>
      <c r="Z336" s="308">
        <v>3.0605711936950684</v>
      </c>
      <c r="AA336" s="157">
        <v>51.153903961181641</v>
      </c>
      <c r="AB336" s="2">
        <v>226</v>
      </c>
      <c r="AC336" s="2">
        <v>0</v>
      </c>
      <c r="AD336" s="34">
        <v>45745</v>
      </c>
      <c r="AF336" s="12">
        <v>0.18</v>
      </c>
      <c r="AG336" s="12">
        <v>1.99</v>
      </c>
      <c r="AH336" s="144">
        <v>6.7000000000000004E-2</v>
      </c>
    </row>
    <row r="337" spans="1:34" x14ac:dyDescent="0.3">
      <c r="A337" s="105">
        <v>195</v>
      </c>
      <c r="B337" s="2" t="s">
        <v>469</v>
      </c>
      <c r="C337" s="86">
        <v>74.05</v>
      </c>
      <c r="D337" s="177">
        <v>2.6333556175231934</v>
      </c>
      <c r="E337" s="308">
        <v>3.0925049781799316</v>
      </c>
      <c r="F337" s="308">
        <v>3.2140443325042725</v>
      </c>
      <c r="G337" s="159">
        <v>56.27703857421875</v>
      </c>
      <c r="H337" s="2">
        <v>229</v>
      </c>
      <c r="I337" s="2">
        <v>0</v>
      </c>
      <c r="J337" s="58">
        <v>45705</v>
      </c>
      <c r="K337" s="105">
        <v>195</v>
      </c>
      <c r="L337" s="2" t="s">
        <v>462</v>
      </c>
      <c r="M337" s="87">
        <v>76.260000000000005</v>
      </c>
      <c r="N337" s="177">
        <v>2.5570416450500488</v>
      </c>
      <c r="O337" s="176">
        <v>2.976658821105957</v>
      </c>
      <c r="P337" s="308">
        <v>3.186467170715332</v>
      </c>
      <c r="Q337" s="157">
        <v>53.532718658447266</v>
      </c>
      <c r="R337" s="2">
        <v>227</v>
      </c>
      <c r="S337" s="2">
        <v>0</v>
      </c>
      <c r="T337" s="34">
        <v>45772</v>
      </c>
      <c r="U337" s="105">
        <v>195</v>
      </c>
      <c r="V337" s="2" t="s">
        <v>450</v>
      </c>
      <c r="W337" s="87">
        <v>77.17</v>
      </c>
      <c r="X337" s="177">
        <v>2.5268888473510742</v>
      </c>
      <c r="Y337" s="308">
        <v>3.0711417198181152</v>
      </c>
      <c r="Z337" s="178">
        <v>3.2784762382507324</v>
      </c>
      <c r="AA337" s="157">
        <v>52.464004516601563</v>
      </c>
      <c r="AB337" s="2">
        <v>237</v>
      </c>
      <c r="AC337" s="2">
        <v>0</v>
      </c>
      <c r="AD337" s="34">
        <v>45716</v>
      </c>
      <c r="AF337" s="12">
        <v>0.08</v>
      </c>
      <c r="AG337" s="12">
        <v>0.82</v>
      </c>
      <c r="AH337" s="144">
        <v>0.03</v>
      </c>
    </row>
    <row r="338" spans="1:34" x14ac:dyDescent="0.3">
      <c r="A338" s="105">
        <v>196</v>
      </c>
      <c r="B338" s="2" t="s">
        <v>465</v>
      </c>
      <c r="C338" s="84">
        <v>67</v>
      </c>
      <c r="D338" s="176">
        <v>2.9253730773925781</v>
      </c>
      <c r="E338" s="178">
        <v>3.4179103374481201</v>
      </c>
      <c r="F338" s="310">
        <v>3.5373134613037109</v>
      </c>
      <c r="G338" s="166">
        <v>67.052993774414063</v>
      </c>
      <c r="H338" s="2">
        <v>229</v>
      </c>
      <c r="I338" s="2">
        <v>0</v>
      </c>
      <c r="J338" s="58">
        <v>45782</v>
      </c>
      <c r="K338" s="105">
        <v>196</v>
      </c>
      <c r="L338" s="2" t="s">
        <v>468</v>
      </c>
      <c r="M338" s="85">
        <v>68.77</v>
      </c>
      <c r="N338" s="176">
        <v>2.8500800132751465</v>
      </c>
      <c r="O338" s="178">
        <v>3.3299405574798584</v>
      </c>
      <c r="P338" s="310">
        <v>3.5189764499664307</v>
      </c>
      <c r="Q338" s="166">
        <v>64.145622253417969</v>
      </c>
      <c r="R338" s="2">
        <v>229</v>
      </c>
      <c r="S338" s="2">
        <v>0</v>
      </c>
      <c r="T338" s="34">
        <v>45768</v>
      </c>
      <c r="U338" s="105">
        <v>196</v>
      </c>
      <c r="V338" s="2" t="s">
        <v>494</v>
      </c>
      <c r="W338" s="86">
        <v>72.64</v>
      </c>
      <c r="X338" s="177">
        <v>2.6982378959655762</v>
      </c>
      <c r="Y338" s="308">
        <v>3.0699338912963867</v>
      </c>
      <c r="Z338" s="308">
        <v>3.2351322174072266</v>
      </c>
      <c r="AA338" s="159">
        <v>58.444873809814453</v>
      </c>
      <c r="AB338" s="2">
        <v>223</v>
      </c>
      <c r="AC338" s="2">
        <v>0</v>
      </c>
      <c r="AD338" s="34">
        <v>45750</v>
      </c>
      <c r="AF338" s="12">
        <v>0.08</v>
      </c>
      <c r="AG338" s="12">
        <v>0.76</v>
      </c>
      <c r="AH338" s="144">
        <v>2.5999999999999999E-2</v>
      </c>
    </row>
    <row r="339" spans="1:34" x14ac:dyDescent="0.3">
      <c r="A339" s="105">
        <v>197</v>
      </c>
      <c r="B339" s="2" t="s">
        <v>486</v>
      </c>
      <c r="C339" s="86">
        <v>72.5</v>
      </c>
      <c r="D339" s="177">
        <v>2.7172412872314453</v>
      </c>
      <c r="E339" s="178">
        <v>3.2551724910736084</v>
      </c>
      <c r="F339" s="178">
        <v>3.4068965911865234</v>
      </c>
      <c r="G339" s="159">
        <v>58.936027526855469</v>
      </c>
      <c r="H339" s="2">
        <v>236</v>
      </c>
      <c r="I339" s="2">
        <v>0</v>
      </c>
      <c r="J339" s="58">
        <v>45765</v>
      </c>
      <c r="K339" s="105">
        <v>197</v>
      </c>
      <c r="L339" s="2" t="s">
        <v>545</v>
      </c>
      <c r="M339" s="86">
        <v>74.599999999999994</v>
      </c>
      <c r="N339" s="177">
        <v>2.6407506465911865</v>
      </c>
      <c r="O339" s="308">
        <v>3.1501340866088867</v>
      </c>
      <c r="P339" s="178">
        <v>3.3512065410614014</v>
      </c>
      <c r="Q339" s="157">
        <v>56.143501281738281</v>
      </c>
      <c r="R339" s="2">
        <v>235</v>
      </c>
      <c r="S339" s="2">
        <v>0</v>
      </c>
      <c r="T339" s="34">
        <v>45800</v>
      </c>
      <c r="U339" s="105">
        <v>197</v>
      </c>
      <c r="V339" s="2" t="s">
        <v>446</v>
      </c>
      <c r="W339" s="87">
        <v>79.430000000000007</v>
      </c>
      <c r="X339" s="179">
        <v>2.4801712036132813</v>
      </c>
      <c r="Y339" s="308">
        <v>3.0215284824371338</v>
      </c>
      <c r="Z339" s="308">
        <v>3.2103738784790039</v>
      </c>
      <c r="AA339" s="157">
        <v>50.464004516601563</v>
      </c>
      <c r="AB339" s="2">
        <v>240</v>
      </c>
      <c r="AC339" s="2">
        <v>0</v>
      </c>
      <c r="AD339" s="34">
        <v>45709</v>
      </c>
      <c r="AF339" s="12">
        <v>0.08</v>
      </c>
      <c r="AG339" s="12">
        <v>0.73</v>
      </c>
      <c r="AH339" s="144">
        <v>2.9000000000000001E-2</v>
      </c>
    </row>
    <row r="340" spans="1:34" x14ac:dyDescent="0.3">
      <c r="A340" s="105">
        <v>198</v>
      </c>
      <c r="B340" s="2" t="s">
        <v>465</v>
      </c>
      <c r="C340" s="86">
        <v>73.47</v>
      </c>
      <c r="D340" s="177">
        <v>2.6949775218963623</v>
      </c>
      <c r="E340" s="308">
        <v>3.1169183254241943</v>
      </c>
      <c r="F340" s="178">
        <v>3.2666394710540771</v>
      </c>
      <c r="G340" s="159">
        <v>57.911838531494141</v>
      </c>
      <c r="H340" s="2">
        <v>229</v>
      </c>
      <c r="I340" s="2">
        <v>0</v>
      </c>
      <c r="J340" s="58">
        <v>45791</v>
      </c>
      <c r="K340" s="105">
        <v>198</v>
      </c>
      <c r="L340" s="2" t="s">
        <v>399</v>
      </c>
      <c r="M340" s="87">
        <v>75.84</v>
      </c>
      <c r="N340" s="177">
        <v>2.6107597351074219</v>
      </c>
      <c r="O340" s="308">
        <v>3.1250002384185791</v>
      </c>
      <c r="P340" s="178">
        <v>3.2832279205322266</v>
      </c>
      <c r="Q340" s="157">
        <v>54.869037628173828</v>
      </c>
      <c r="R340" s="2">
        <v>237</v>
      </c>
      <c r="S340" s="2">
        <v>0</v>
      </c>
      <c r="T340" s="34">
        <v>45754</v>
      </c>
      <c r="U340" s="105">
        <v>198</v>
      </c>
      <c r="V340" s="2" t="s">
        <v>399</v>
      </c>
      <c r="W340" s="88">
        <v>82.74</v>
      </c>
      <c r="X340" s="179">
        <v>2.3930385112762451</v>
      </c>
      <c r="Y340" s="176">
        <v>2.803964376449585</v>
      </c>
      <c r="Z340" s="176">
        <v>2.9852550029754639</v>
      </c>
      <c r="AA340" s="158">
        <v>47.31927490234375</v>
      </c>
      <c r="AB340" s="2">
        <v>232</v>
      </c>
      <c r="AC340" s="2">
        <v>0</v>
      </c>
      <c r="AD340" s="34">
        <v>45773</v>
      </c>
      <c r="AF340" s="12">
        <v>0.08</v>
      </c>
      <c r="AG340" s="12">
        <v>0.75</v>
      </c>
      <c r="AH340" s="144">
        <v>3.2000000000000001E-2</v>
      </c>
    </row>
    <row r="341" spans="1:34" x14ac:dyDescent="0.3">
      <c r="A341" s="105">
        <v>199</v>
      </c>
      <c r="B341" s="2" t="s">
        <v>460</v>
      </c>
      <c r="C341" s="84">
        <v>66.760000000000005</v>
      </c>
      <c r="D341" s="176">
        <v>2.9808268547058105</v>
      </c>
      <c r="E341" s="178">
        <v>3.2804074287414551</v>
      </c>
      <c r="F341" s="178">
        <v>3.4451766014099121</v>
      </c>
      <c r="G341" s="166">
        <v>68.495895385742188</v>
      </c>
      <c r="H341" s="2">
        <v>219</v>
      </c>
      <c r="I341" s="2">
        <v>0</v>
      </c>
      <c r="J341" s="58">
        <v>45779</v>
      </c>
      <c r="K341" s="105">
        <v>199</v>
      </c>
      <c r="L341" s="2" t="s">
        <v>501</v>
      </c>
      <c r="M341" s="87">
        <v>76.95</v>
      </c>
      <c r="N341" s="177">
        <v>2.586094856262207</v>
      </c>
      <c r="O341" s="308">
        <v>3.0279402732849121</v>
      </c>
      <c r="P341" s="308">
        <v>3.0929176807403564</v>
      </c>
      <c r="Q341" s="157">
        <v>53.800674438476563</v>
      </c>
      <c r="R341" s="2">
        <v>233</v>
      </c>
      <c r="S341" s="2">
        <v>0</v>
      </c>
      <c r="T341" s="34">
        <v>45758</v>
      </c>
      <c r="U341" s="105">
        <v>199</v>
      </c>
      <c r="V341" s="2" t="s">
        <v>492</v>
      </c>
      <c r="W341" s="87">
        <v>77.540000000000006</v>
      </c>
      <c r="X341" s="177">
        <v>2.5664172172546387</v>
      </c>
      <c r="Y341" s="176">
        <v>2.9533143043518066</v>
      </c>
      <c r="Z341" s="308">
        <v>3.1209697723388672</v>
      </c>
      <c r="AA341" s="157">
        <v>53.106597900390625</v>
      </c>
      <c r="AB341" s="2">
        <v>229</v>
      </c>
      <c r="AC341" s="2">
        <v>0</v>
      </c>
      <c r="AD341" s="34">
        <v>45674</v>
      </c>
      <c r="AF341" s="12">
        <v>0.39</v>
      </c>
      <c r="AG341" s="12">
        <v>3.32</v>
      </c>
      <c r="AH341" s="144">
        <v>0.153</v>
      </c>
    </row>
    <row r="342" spans="1:34" x14ac:dyDescent="0.3">
      <c r="A342" s="105">
        <v>200</v>
      </c>
      <c r="B342" s="2" t="s">
        <v>465</v>
      </c>
      <c r="C342" s="86">
        <v>74.2</v>
      </c>
      <c r="D342" s="177">
        <v>2.6954178810119629</v>
      </c>
      <c r="E342" s="308">
        <v>3.0997304916381836</v>
      </c>
      <c r="F342" s="178">
        <v>3.301887035369873</v>
      </c>
      <c r="G342" s="159">
        <v>57.521820068359375</v>
      </c>
      <c r="H342" s="2">
        <v>230</v>
      </c>
      <c r="I342" s="2">
        <v>0</v>
      </c>
      <c r="J342" s="58">
        <v>45760</v>
      </c>
      <c r="K342" s="105">
        <v>200</v>
      </c>
      <c r="L342" s="2" t="s">
        <v>448</v>
      </c>
      <c r="M342" s="88">
        <v>80.37</v>
      </c>
      <c r="N342" s="179">
        <v>2.4884905815124512</v>
      </c>
      <c r="O342" s="176">
        <v>2.8990917205810547</v>
      </c>
      <c r="P342" s="308">
        <v>3.0857284069061279</v>
      </c>
      <c r="Q342" s="157">
        <v>50.218006134033203</v>
      </c>
      <c r="R342" s="2">
        <v>233</v>
      </c>
      <c r="S342" s="2">
        <v>0</v>
      </c>
      <c r="T342" s="34">
        <v>45729</v>
      </c>
      <c r="U342" s="105">
        <v>200</v>
      </c>
      <c r="V342" s="2" t="s">
        <v>550</v>
      </c>
      <c r="W342" s="2">
        <v>100.01</v>
      </c>
      <c r="X342" s="175">
        <v>1.9997999668121338</v>
      </c>
      <c r="Y342" s="179">
        <v>2.3897609710693359</v>
      </c>
      <c r="Z342" s="177">
        <v>2.5097489356994629</v>
      </c>
      <c r="AA342" s="172">
        <v>34.629432678222656</v>
      </c>
      <c r="AB342" s="2">
        <v>239</v>
      </c>
      <c r="AC342" s="2">
        <v>0</v>
      </c>
      <c r="AD342" s="34">
        <v>45675</v>
      </c>
      <c r="AF342" s="12">
        <v>0.21</v>
      </c>
      <c r="AG342" s="12">
        <v>1.63</v>
      </c>
      <c r="AH342" s="144">
        <v>8.3000000000000004E-2</v>
      </c>
    </row>
    <row r="343" spans="1:34" x14ac:dyDescent="0.3">
      <c r="A343" s="105">
        <v>201</v>
      </c>
      <c r="B343" s="2" t="s">
        <v>443</v>
      </c>
      <c r="C343" s="87">
        <v>76.33</v>
      </c>
      <c r="D343" s="177">
        <v>2.6333026885986328</v>
      </c>
      <c r="E343" s="308">
        <v>3.2097470760345459</v>
      </c>
      <c r="F343" s="178">
        <v>3.4062621593475342</v>
      </c>
      <c r="G343" s="157">
        <v>55.093875885009766</v>
      </c>
      <c r="H343" s="2">
        <v>245</v>
      </c>
      <c r="I343" s="2">
        <v>0</v>
      </c>
      <c r="J343" s="58">
        <v>45742</v>
      </c>
      <c r="K343" s="105">
        <v>201</v>
      </c>
      <c r="L343" s="2" t="s">
        <v>551</v>
      </c>
      <c r="M343" s="88">
        <v>80.48</v>
      </c>
      <c r="N343" s="179">
        <v>2.4975147247314453</v>
      </c>
      <c r="O343" s="176">
        <v>2.8702781200408936</v>
      </c>
      <c r="P343" s="308">
        <v>3.1187870502471924</v>
      </c>
      <c r="Q343" s="157">
        <v>50.351882934570313</v>
      </c>
      <c r="R343" s="2">
        <v>231</v>
      </c>
      <c r="S343" s="2">
        <v>0</v>
      </c>
      <c r="T343" s="34">
        <v>45714</v>
      </c>
      <c r="U343" s="105">
        <v>201</v>
      </c>
      <c r="V343" s="2" t="s">
        <v>525</v>
      </c>
      <c r="W343" s="2">
        <v>90.35</v>
      </c>
      <c r="X343" s="185">
        <v>2.2246818542480469</v>
      </c>
      <c r="Y343" s="176">
        <v>2.7780852317810059</v>
      </c>
      <c r="Z343" s="308">
        <v>3.0215828418731689</v>
      </c>
      <c r="AA343" s="158">
        <v>41.362564086914063</v>
      </c>
      <c r="AB343" s="2">
        <v>251</v>
      </c>
      <c r="AC343" s="2">
        <v>0</v>
      </c>
      <c r="AD343" s="34">
        <v>45774</v>
      </c>
      <c r="AF343" s="12">
        <v>0.14000000000000001</v>
      </c>
      <c r="AG343" s="12">
        <v>1</v>
      </c>
      <c r="AH343" s="144">
        <v>5.3999999999999999E-2</v>
      </c>
    </row>
    <row r="344" spans="1:34" x14ac:dyDescent="0.3">
      <c r="A344" s="105">
        <v>202</v>
      </c>
      <c r="B344" s="2" t="s">
        <v>441</v>
      </c>
      <c r="C344" s="87">
        <v>75.180000000000007</v>
      </c>
      <c r="D344" s="177">
        <v>2.686884880065918</v>
      </c>
      <c r="E344" s="308">
        <v>3.2322425842285156</v>
      </c>
      <c r="F344" s="310">
        <v>3.5248737335205078</v>
      </c>
      <c r="G344" s="159">
        <v>56.815479278564453</v>
      </c>
      <c r="H344" s="2">
        <v>243</v>
      </c>
      <c r="I344" s="2">
        <v>0</v>
      </c>
      <c r="J344" s="58">
        <v>45763</v>
      </c>
      <c r="K344" s="105">
        <v>202</v>
      </c>
      <c r="L344" s="2" t="s">
        <v>550</v>
      </c>
      <c r="M344" s="87">
        <v>76.959999999999994</v>
      </c>
      <c r="N344" s="177">
        <v>2.6247401237487793</v>
      </c>
      <c r="O344" s="308">
        <v>3.1444907188415527</v>
      </c>
      <c r="P344" s="178">
        <v>3.3913722038269043</v>
      </c>
      <c r="Q344" s="157">
        <v>54.599674224853516</v>
      </c>
      <c r="R344" s="2">
        <v>242</v>
      </c>
      <c r="S344" s="2">
        <v>0</v>
      </c>
      <c r="T344" s="34">
        <v>45734</v>
      </c>
      <c r="U344" s="105">
        <v>202</v>
      </c>
      <c r="V344" s="2" t="s">
        <v>552</v>
      </c>
      <c r="W344" s="87">
        <v>78.349999999999994</v>
      </c>
      <c r="X344" s="177">
        <v>2.5781748294830322</v>
      </c>
      <c r="Y344" s="308">
        <v>3.1142311096191406</v>
      </c>
      <c r="Z344" s="178">
        <v>3.2673900127410889</v>
      </c>
      <c r="AA344" s="157">
        <v>52.963218688964844</v>
      </c>
      <c r="AB344" s="2">
        <v>244</v>
      </c>
      <c r="AC344" s="2">
        <v>0</v>
      </c>
      <c r="AD344" s="34">
        <v>45792</v>
      </c>
      <c r="AF344" s="12">
        <v>0.06</v>
      </c>
      <c r="AG344" s="12">
        <v>0.43</v>
      </c>
      <c r="AH344" s="144">
        <v>2.4E-2</v>
      </c>
    </row>
    <row r="345" spans="1:34" x14ac:dyDescent="0.3">
      <c r="A345" s="105">
        <v>203</v>
      </c>
      <c r="B345" s="2" t="s">
        <v>549</v>
      </c>
      <c r="C345" s="88">
        <v>84.86</v>
      </c>
      <c r="D345" s="179">
        <v>2.3921754360198975</v>
      </c>
      <c r="E345" s="176">
        <v>2.8281874656677246</v>
      </c>
      <c r="F345" s="176">
        <v>2.9813811779022217</v>
      </c>
      <c r="G345" s="158">
        <v>46.471870422363281</v>
      </c>
      <c r="H345" s="2">
        <v>240</v>
      </c>
      <c r="I345" s="2">
        <v>0</v>
      </c>
      <c r="J345" s="58">
        <v>45696</v>
      </c>
      <c r="K345" s="105">
        <v>203</v>
      </c>
      <c r="L345" s="2" t="s">
        <v>553</v>
      </c>
      <c r="M345" s="168">
        <v>88.97</v>
      </c>
      <c r="N345" s="179">
        <v>2.281667947769165</v>
      </c>
      <c r="O345" s="177">
        <v>2.5963807106018066</v>
      </c>
      <c r="P345" s="176">
        <v>2.8211755752563477</v>
      </c>
      <c r="Q345" s="158">
        <v>42.881622314453125</v>
      </c>
      <c r="R345" s="2">
        <v>231</v>
      </c>
      <c r="S345" s="2">
        <v>0</v>
      </c>
      <c r="T345" s="34">
        <v>45674</v>
      </c>
      <c r="W345" s="168"/>
      <c r="X345" s="179"/>
      <c r="Y345" s="177"/>
      <c r="Z345" s="176"/>
      <c r="AA345" s="158"/>
      <c r="AF345" s="12">
        <v>0.11</v>
      </c>
      <c r="AG345" s="12">
        <v>0.7</v>
      </c>
      <c r="AH345" s="144">
        <v>4.8000000000000001E-2</v>
      </c>
    </row>
    <row r="346" spans="1:34" x14ac:dyDescent="0.3">
      <c r="A346" s="105">
        <v>204</v>
      </c>
      <c r="B346" s="2" t="s">
        <v>480</v>
      </c>
      <c r="C346" s="86">
        <v>74.099999999999994</v>
      </c>
      <c r="D346" s="176">
        <v>2.7530364990234375</v>
      </c>
      <c r="E346" s="308">
        <v>3.1848852634429932</v>
      </c>
      <c r="F346" s="178">
        <v>3.3738193511962891</v>
      </c>
      <c r="G346" s="159">
        <v>58.806926727294922</v>
      </c>
      <c r="H346" s="2">
        <v>236</v>
      </c>
      <c r="I346" s="2">
        <v>0</v>
      </c>
      <c r="J346" s="58">
        <v>45792</v>
      </c>
      <c r="K346" s="105">
        <v>204</v>
      </c>
      <c r="L346" s="2" t="s">
        <v>497</v>
      </c>
      <c r="M346" s="87">
        <v>76</v>
      </c>
      <c r="N346" s="177">
        <v>2.6842105388641357</v>
      </c>
      <c r="O346" s="178">
        <v>3.25</v>
      </c>
      <c r="P346" s="310">
        <v>3.5263156890869141</v>
      </c>
      <c r="Q346" s="159">
        <v>56.329551696777344</v>
      </c>
      <c r="R346" s="2">
        <v>247</v>
      </c>
      <c r="S346" s="2">
        <v>0</v>
      </c>
      <c r="T346" s="34">
        <v>45779</v>
      </c>
      <c r="U346" s="105">
        <v>204</v>
      </c>
      <c r="V346" s="2" t="s">
        <v>548</v>
      </c>
      <c r="W346" s="87">
        <v>76.87</v>
      </c>
      <c r="X346" s="177">
        <v>2.6538310050964355</v>
      </c>
      <c r="Y346" s="308">
        <v>3.0701181888580322</v>
      </c>
      <c r="Z346" s="178">
        <v>3.2522439956665039</v>
      </c>
      <c r="AA346" s="157">
        <v>55.250053405761719</v>
      </c>
      <c r="AB346" s="2">
        <v>236</v>
      </c>
      <c r="AC346" s="2">
        <v>0</v>
      </c>
      <c r="AD346" s="34">
        <v>45805</v>
      </c>
      <c r="AF346" s="12">
        <v>7.0000000000000007E-2</v>
      </c>
      <c r="AG346" s="12">
        <v>0.41</v>
      </c>
      <c r="AH346" s="144">
        <v>2.5999999999999999E-2</v>
      </c>
    </row>
    <row r="347" spans="1:34" x14ac:dyDescent="0.3">
      <c r="A347" s="105">
        <v>205</v>
      </c>
      <c r="B347" s="2" t="s">
        <v>480</v>
      </c>
      <c r="C347" s="87">
        <v>75.17</v>
      </c>
      <c r="D347" s="177">
        <v>2.7271518707275391</v>
      </c>
      <c r="E347" s="308">
        <v>3.2326726913452148</v>
      </c>
      <c r="F347" s="178">
        <v>3.4056141376495361</v>
      </c>
      <c r="G347" s="159">
        <v>57.672317504882813</v>
      </c>
      <c r="H347" s="2">
        <v>243</v>
      </c>
      <c r="I347" s="2">
        <v>0</v>
      </c>
      <c r="J347" s="58">
        <v>45769</v>
      </c>
      <c r="K347" s="105">
        <v>205</v>
      </c>
      <c r="L347" s="2" t="s">
        <v>414</v>
      </c>
      <c r="M347" s="88">
        <v>80.53</v>
      </c>
      <c r="N347" s="177">
        <v>2.5456352233886719</v>
      </c>
      <c r="O347" s="308">
        <v>3.1044330596923828</v>
      </c>
      <c r="P347" s="178">
        <v>3.3403701782226563</v>
      </c>
      <c r="Q347" s="157">
        <v>51.299720764160156</v>
      </c>
      <c r="R347" s="2">
        <v>250</v>
      </c>
      <c r="S347" s="2">
        <v>0</v>
      </c>
      <c r="T347" s="34">
        <v>45709</v>
      </c>
      <c r="U347" s="105">
        <v>205</v>
      </c>
      <c r="V347" s="2" t="s">
        <v>492</v>
      </c>
      <c r="W347" s="88">
        <v>81.650000000000006</v>
      </c>
      <c r="X347" s="177">
        <v>2.510716438293457</v>
      </c>
      <c r="Y347" s="176">
        <v>2.9761176109313965</v>
      </c>
      <c r="Z347" s="178">
        <v>3.257807731628418</v>
      </c>
      <c r="AA347" s="157">
        <v>50.109214782714844</v>
      </c>
      <c r="AB347" s="2">
        <v>243</v>
      </c>
      <c r="AC347" s="2">
        <v>0</v>
      </c>
      <c r="AD347" s="34">
        <v>45757</v>
      </c>
      <c r="AF347" s="12">
        <v>0.18</v>
      </c>
      <c r="AG347" s="12">
        <v>1</v>
      </c>
      <c r="AH347" s="144">
        <v>7.0999999999999994E-2</v>
      </c>
    </row>
    <row r="348" spans="1:34" x14ac:dyDescent="0.3">
      <c r="A348" s="105">
        <v>206</v>
      </c>
      <c r="B348" s="2" t="s">
        <v>487</v>
      </c>
      <c r="C348" s="87">
        <v>75.819999999999993</v>
      </c>
      <c r="D348" s="177">
        <v>2.716961145401001</v>
      </c>
      <c r="E348" s="308">
        <v>3.0598785877227783</v>
      </c>
      <c r="F348" s="308">
        <v>3.231337308883667</v>
      </c>
      <c r="G348" s="159">
        <v>57.111564636230469</v>
      </c>
      <c r="H348" s="2">
        <v>232</v>
      </c>
      <c r="I348" s="2">
        <v>0</v>
      </c>
      <c r="J348" s="58">
        <v>45755</v>
      </c>
      <c r="K348" s="105">
        <v>206</v>
      </c>
      <c r="L348" s="2" t="s">
        <v>551</v>
      </c>
      <c r="M348" s="87">
        <v>77.61</v>
      </c>
      <c r="N348" s="177">
        <v>2.6542971134185791</v>
      </c>
      <c r="O348" s="308">
        <v>3.1568095684051514</v>
      </c>
      <c r="P348" s="178">
        <v>3.4016234874725342</v>
      </c>
      <c r="Q348" s="157">
        <v>54.890399932861328</v>
      </c>
      <c r="R348" s="2">
        <v>245</v>
      </c>
      <c r="S348" s="2">
        <v>0</v>
      </c>
      <c r="T348" s="34">
        <v>45808</v>
      </c>
      <c r="U348" s="105">
        <v>206</v>
      </c>
      <c r="V348" s="2" t="s">
        <v>426</v>
      </c>
      <c r="W348" s="87">
        <v>79.38</v>
      </c>
      <c r="X348" s="177">
        <v>2.5951123237609863</v>
      </c>
      <c r="Y348" s="176">
        <v>2.9478459358215332</v>
      </c>
      <c r="Z348" s="308">
        <v>3.0990173816680908</v>
      </c>
      <c r="AA348" s="157">
        <v>52.825992584228516</v>
      </c>
      <c r="AB348" s="2">
        <v>234</v>
      </c>
      <c r="AC348" s="2">
        <v>0</v>
      </c>
      <c r="AD348" s="34">
        <v>45702</v>
      </c>
      <c r="AF348" s="12">
        <v>0.06</v>
      </c>
      <c r="AG348" s="12">
        <v>0.32</v>
      </c>
      <c r="AH348" s="144">
        <v>2.4E-2</v>
      </c>
    </row>
    <row r="349" spans="1:34" x14ac:dyDescent="0.3">
      <c r="A349" s="105">
        <v>207</v>
      </c>
      <c r="B349" s="2" t="s">
        <v>470</v>
      </c>
      <c r="C349" s="86">
        <v>73.41</v>
      </c>
      <c r="D349" s="176">
        <v>2.8197791576385498</v>
      </c>
      <c r="E349" s="308">
        <v>3.2011985778808594</v>
      </c>
      <c r="F349" s="178">
        <v>3.296553373336792</v>
      </c>
      <c r="G349" s="159">
        <v>60.628341674804688</v>
      </c>
      <c r="H349" s="2">
        <v>235</v>
      </c>
      <c r="I349" s="2">
        <v>0</v>
      </c>
      <c r="J349" s="58">
        <v>45772</v>
      </c>
      <c r="K349" s="105">
        <v>207</v>
      </c>
      <c r="L349" s="2" t="s">
        <v>485</v>
      </c>
      <c r="M349" s="87">
        <v>76.7</v>
      </c>
      <c r="N349" s="177">
        <v>2.698826789855957</v>
      </c>
      <c r="O349" s="308">
        <v>3.1421122550964355</v>
      </c>
      <c r="P349" s="178">
        <v>3.3116037845611572</v>
      </c>
      <c r="Q349" s="159">
        <v>56.273963928222656</v>
      </c>
      <c r="R349" s="2">
        <v>241</v>
      </c>
      <c r="S349" s="2">
        <v>0</v>
      </c>
      <c r="T349" s="34">
        <v>45810</v>
      </c>
      <c r="U349" s="105">
        <v>207</v>
      </c>
      <c r="V349" s="2" t="s">
        <v>435</v>
      </c>
      <c r="W349" s="87">
        <v>78.900000000000006</v>
      </c>
      <c r="X349" s="177">
        <v>2.6235740184783936</v>
      </c>
      <c r="Y349" s="308">
        <v>3.0164763927459717</v>
      </c>
      <c r="Z349" s="308">
        <v>3.2192647457122803</v>
      </c>
      <c r="AA349" s="157">
        <v>53.632579803466797</v>
      </c>
      <c r="AB349" s="2">
        <v>238</v>
      </c>
      <c r="AC349" s="2">
        <v>0</v>
      </c>
      <c r="AD349" s="34">
        <v>45754</v>
      </c>
      <c r="AF349" s="12">
        <v>0.12</v>
      </c>
      <c r="AG349" s="12">
        <v>0.56999999999999995</v>
      </c>
      <c r="AH349" s="144">
        <v>4.4999999999999998E-2</v>
      </c>
    </row>
    <row r="350" spans="1:34" x14ac:dyDescent="0.3">
      <c r="A350" s="105">
        <v>208</v>
      </c>
      <c r="B350" s="2" t="s">
        <v>490</v>
      </c>
      <c r="C350" s="87">
        <v>76.849999999999994</v>
      </c>
      <c r="D350" s="177">
        <v>2.7065713405609131</v>
      </c>
      <c r="E350" s="308">
        <v>3.0839297771453857</v>
      </c>
      <c r="F350" s="178">
        <v>3.3311645984649658</v>
      </c>
      <c r="G350" s="159">
        <v>56.358318328857422</v>
      </c>
      <c r="H350" s="2">
        <v>237</v>
      </c>
      <c r="I350" s="2">
        <v>0</v>
      </c>
      <c r="J350" s="58">
        <v>45771</v>
      </c>
      <c r="K350" s="105">
        <v>208</v>
      </c>
      <c r="L350" s="2" t="s">
        <v>554</v>
      </c>
      <c r="M350" s="88">
        <v>82.69</v>
      </c>
      <c r="N350" s="177">
        <v>2.5154190063476563</v>
      </c>
      <c r="O350" s="308">
        <v>3.0717134475708008</v>
      </c>
      <c r="P350" s="178">
        <v>3.2652072906494141</v>
      </c>
      <c r="Q350" s="158">
        <v>49.760242462158203</v>
      </c>
      <c r="R350" s="2">
        <v>254</v>
      </c>
      <c r="S350" s="2">
        <v>0</v>
      </c>
      <c r="T350" s="34">
        <v>45745</v>
      </c>
      <c r="W350" s="88"/>
      <c r="X350" s="177"/>
      <c r="Y350" s="307"/>
      <c r="Z350" s="178"/>
      <c r="AA350" s="158"/>
      <c r="AF350" s="12">
        <v>0.19</v>
      </c>
      <c r="AG350" s="12">
        <v>0.82</v>
      </c>
      <c r="AH350" s="144">
        <v>7.5999999999999998E-2</v>
      </c>
    </row>
    <row r="351" spans="1:34" x14ac:dyDescent="0.3">
      <c r="A351" s="105">
        <v>209</v>
      </c>
      <c r="B351" s="2" t="s">
        <v>477</v>
      </c>
      <c r="C351" s="88">
        <v>80.02</v>
      </c>
      <c r="D351" s="177">
        <v>2.6118471622467041</v>
      </c>
      <c r="E351" s="308">
        <v>3.1492128372192383</v>
      </c>
      <c r="F351" s="178">
        <v>3.3616597652435303</v>
      </c>
      <c r="G351" s="157">
        <v>52.868629455566406</v>
      </c>
      <c r="H351" s="2">
        <v>252</v>
      </c>
      <c r="I351" s="2">
        <v>0</v>
      </c>
      <c r="J351" s="58">
        <v>45775</v>
      </c>
      <c r="K351" s="105">
        <v>209</v>
      </c>
      <c r="L351" s="2" t="s">
        <v>532</v>
      </c>
      <c r="M351" s="88">
        <v>82.9</v>
      </c>
      <c r="N351" s="177">
        <v>2.5211098194122314</v>
      </c>
      <c r="O351" s="308">
        <v>3.0518696308135986</v>
      </c>
      <c r="P351" s="308">
        <v>3.2448732852935791</v>
      </c>
      <c r="Q351" s="158">
        <v>49.784347534179688</v>
      </c>
      <c r="R351" s="2">
        <v>253</v>
      </c>
      <c r="S351" s="2">
        <v>0</v>
      </c>
      <c r="T351" s="34">
        <v>45696</v>
      </c>
      <c r="X351" s="175"/>
      <c r="Y351" s="175"/>
      <c r="Z351" s="175"/>
      <c r="AA351" s="186"/>
      <c r="AF351" s="12">
        <v>0.09</v>
      </c>
      <c r="AG351" s="12">
        <v>0.36000000000000004</v>
      </c>
      <c r="AH351" s="144">
        <v>3.5999999999999997E-2</v>
      </c>
    </row>
    <row r="352" spans="1:34" x14ac:dyDescent="0.3">
      <c r="A352" s="105">
        <v>210</v>
      </c>
      <c r="B352" s="2" t="s">
        <v>485</v>
      </c>
      <c r="C352" s="87">
        <v>78.44</v>
      </c>
      <c r="D352" s="177">
        <v>2.6772053241729736</v>
      </c>
      <c r="E352" s="308">
        <v>3.212646484375</v>
      </c>
      <c r="F352" s="178">
        <v>3.4803669452667236</v>
      </c>
      <c r="G352" s="157">
        <v>54.953407287597656</v>
      </c>
      <c r="H352" s="2">
        <v>252</v>
      </c>
      <c r="I352" s="2">
        <v>0</v>
      </c>
      <c r="J352" s="58">
        <v>45707</v>
      </c>
      <c r="K352" s="105">
        <v>210</v>
      </c>
      <c r="L352" s="2" t="s">
        <v>528</v>
      </c>
      <c r="M352" s="87">
        <v>78.8</v>
      </c>
      <c r="N352" s="177">
        <v>2.6649744510650635</v>
      </c>
      <c r="O352" s="178">
        <v>3.299492359161377</v>
      </c>
      <c r="P352" s="178">
        <v>3.4644668102264404</v>
      </c>
      <c r="Q352" s="157">
        <v>54.527294158935547</v>
      </c>
      <c r="R352" s="2">
        <v>260</v>
      </c>
      <c r="S352" s="2">
        <v>0</v>
      </c>
      <c r="T352" s="34">
        <v>45776</v>
      </c>
      <c r="U352" s="105">
        <v>210</v>
      </c>
      <c r="V352" s="2" t="s">
        <v>443</v>
      </c>
      <c r="W352" s="87">
        <v>79.77</v>
      </c>
      <c r="X352" s="177">
        <v>2.6325688362121582</v>
      </c>
      <c r="Y352" s="308">
        <v>3.1089382171630859</v>
      </c>
      <c r="Z352" s="308">
        <v>3.2342987060546875</v>
      </c>
      <c r="AA352" s="157">
        <v>53.404918670654297</v>
      </c>
      <c r="AB352" s="2">
        <v>248</v>
      </c>
      <c r="AC352" s="2">
        <v>0</v>
      </c>
      <c r="AD352" s="34">
        <v>45770</v>
      </c>
      <c r="AF352" s="12">
        <v>0.01</v>
      </c>
      <c r="AG352" s="12">
        <v>0.04</v>
      </c>
      <c r="AH352" s="144">
        <v>5.0000000000000001E-3</v>
      </c>
    </row>
    <row r="353" spans="1:34" x14ac:dyDescent="0.3">
      <c r="A353" s="105">
        <v>211</v>
      </c>
      <c r="B353" s="2" t="s">
        <v>494</v>
      </c>
      <c r="C353" s="87">
        <v>79.63</v>
      </c>
      <c r="D353" s="177">
        <v>2.6497552394866943</v>
      </c>
      <c r="E353" s="308">
        <v>3.0264976024627686</v>
      </c>
      <c r="F353" s="308">
        <v>3.1395204067230225</v>
      </c>
      <c r="G353" s="157">
        <v>53.819705963134766</v>
      </c>
      <c r="H353" s="2">
        <v>241</v>
      </c>
      <c r="I353" s="2">
        <v>0</v>
      </c>
      <c r="J353" s="58">
        <v>45753</v>
      </c>
      <c r="N353" s="175"/>
      <c r="O353" s="175"/>
      <c r="P353" s="185"/>
      <c r="Q353" s="172"/>
    </row>
    <row r="356" spans="1:34" x14ac:dyDescent="0.3">
      <c r="A356" s="105">
        <v>214</v>
      </c>
      <c r="B356" s="2" t="s">
        <v>487</v>
      </c>
      <c r="C356" s="2">
        <v>92.06</v>
      </c>
      <c r="D356" s="179">
        <v>2.324570894241333</v>
      </c>
      <c r="E356" s="177">
        <v>2.6287205219268799</v>
      </c>
      <c r="F356" s="176">
        <v>2.8351075649261475</v>
      </c>
      <c r="G356" s="158">
        <v>42.656223297119141</v>
      </c>
      <c r="H356" s="2">
        <v>242</v>
      </c>
      <c r="I356" s="2">
        <v>0</v>
      </c>
      <c r="J356" s="58">
        <v>45705</v>
      </c>
    </row>
    <row r="359" spans="1:34" x14ac:dyDescent="0.3">
      <c r="A359" s="105">
        <v>217</v>
      </c>
      <c r="B359" s="2" t="s">
        <v>485</v>
      </c>
      <c r="C359" s="87">
        <v>79.02</v>
      </c>
      <c r="D359" s="177">
        <v>2.7461402416229248</v>
      </c>
      <c r="E359" s="308">
        <v>3.2143762111663818</v>
      </c>
      <c r="F359" s="178">
        <v>3.442166805267334</v>
      </c>
      <c r="G359" s="157">
        <v>56.078460693359375</v>
      </c>
      <c r="H359" s="2">
        <v>254</v>
      </c>
      <c r="I359" s="2">
        <v>0</v>
      </c>
      <c r="J359" s="58">
        <v>45808</v>
      </c>
      <c r="K359" s="105">
        <v>217</v>
      </c>
      <c r="L359" s="2" t="s">
        <v>532</v>
      </c>
      <c r="M359" s="168">
        <v>86.55</v>
      </c>
      <c r="N359" s="177">
        <v>2.5072212219238281</v>
      </c>
      <c r="O359" s="308">
        <v>3.0271518230438232</v>
      </c>
      <c r="P359" s="308">
        <v>3.1889081001281738</v>
      </c>
      <c r="Q359" s="158">
        <v>48.039108276367188</v>
      </c>
      <c r="R359" s="2">
        <v>262</v>
      </c>
      <c r="S359" s="2">
        <v>0</v>
      </c>
      <c r="T359" s="34">
        <v>45674</v>
      </c>
      <c r="AF359" s="12">
        <v>0.24</v>
      </c>
      <c r="AG359" s="12">
        <v>0.44</v>
      </c>
      <c r="AH359" s="144">
        <v>9.5000000000000001E-2</v>
      </c>
    </row>
    <row r="361" spans="1:34" x14ac:dyDescent="0.3">
      <c r="D361" s="175"/>
      <c r="E361" s="175"/>
      <c r="F361" s="175"/>
      <c r="G361" s="172"/>
    </row>
    <row r="362" spans="1:34" x14ac:dyDescent="0.3">
      <c r="A362" s="105">
        <v>220</v>
      </c>
      <c r="B362" s="2" t="s">
        <v>472</v>
      </c>
      <c r="C362" s="87">
        <v>78.48</v>
      </c>
      <c r="D362" s="176">
        <v>2.8032617568969727</v>
      </c>
      <c r="E362" s="178">
        <v>3.2619774341583252</v>
      </c>
      <c r="F362" s="178">
        <v>3.478593111038208</v>
      </c>
      <c r="G362" s="159">
        <v>57.520362854003906</v>
      </c>
      <c r="H362" s="2">
        <v>256</v>
      </c>
      <c r="I362" s="2">
        <v>0</v>
      </c>
      <c r="J362" s="58">
        <v>45790</v>
      </c>
      <c r="N362" s="185"/>
      <c r="O362" s="185"/>
      <c r="P362" s="179"/>
      <c r="Q362" s="172"/>
    </row>
    <row r="363" spans="1:34" x14ac:dyDescent="0.3">
      <c r="A363" s="105">
        <v>221</v>
      </c>
      <c r="B363" s="2" t="s">
        <v>399</v>
      </c>
      <c r="C363" s="87">
        <v>77.930000000000007</v>
      </c>
      <c r="D363" s="176">
        <v>2.8358783721923828</v>
      </c>
      <c r="E363" s="308">
        <v>3.2465033531188965</v>
      </c>
      <c r="F363" s="178">
        <v>3.4133195877075195</v>
      </c>
      <c r="G363" s="159">
        <v>58.476795196533203</v>
      </c>
      <c r="H363" s="2">
        <v>253</v>
      </c>
      <c r="I363" s="2">
        <v>0</v>
      </c>
      <c r="J363" s="58">
        <v>45733</v>
      </c>
      <c r="N363" s="175"/>
      <c r="O363" s="175"/>
      <c r="P363" s="185"/>
      <c r="Q363" s="172"/>
    </row>
    <row r="365" spans="1:34" x14ac:dyDescent="0.3">
      <c r="A365" s="105">
        <v>223</v>
      </c>
      <c r="B365" s="2" t="s">
        <v>555</v>
      </c>
      <c r="C365" s="168">
        <v>85.34</v>
      </c>
      <c r="D365" s="177">
        <v>2.6130771636962891</v>
      </c>
      <c r="E365" s="308">
        <v>3.1052262783050537</v>
      </c>
      <c r="F365" s="178">
        <v>3.2809937000274658</v>
      </c>
      <c r="G365" s="157">
        <v>50.563213348388672</v>
      </c>
      <c r="H365" s="2">
        <v>265</v>
      </c>
      <c r="I365" s="2">
        <v>0</v>
      </c>
      <c r="J365" s="58">
        <v>45765</v>
      </c>
    </row>
    <row r="366" spans="1:34" x14ac:dyDescent="0.3">
      <c r="A366" s="105">
        <v>224</v>
      </c>
      <c r="B366" s="2" t="s">
        <v>469</v>
      </c>
      <c r="C366" s="87">
        <v>78.69</v>
      </c>
      <c r="D366" s="176">
        <v>2.8466131687164307</v>
      </c>
      <c r="E366" s="178">
        <v>3.2913966178894043</v>
      </c>
      <c r="F366" s="178">
        <v>3.4693098068237305</v>
      </c>
      <c r="G366" s="159">
        <v>58.300735473632813</v>
      </c>
      <c r="H366" s="2">
        <v>259</v>
      </c>
      <c r="I366" s="2">
        <v>0</v>
      </c>
      <c r="J366" s="58">
        <v>45785</v>
      </c>
    </row>
    <row r="367" spans="1:34" x14ac:dyDescent="0.3">
      <c r="D367" s="175"/>
      <c r="E367" s="175"/>
      <c r="F367" s="185"/>
      <c r="G367" s="172"/>
    </row>
    <row r="372" spans="1:10" x14ac:dyDescent="0.3">
      <c r="A372" s="105">
        <v>230</v>
      </c>
      <c r="B372" s="2" t="s">
        <v>556</v>
      </c>
      <c r="C372" s="168">
        <v>88.29</v>
      </c>
      <c r="D372" s="177">
        <v>2.6050515174865723</v>
      </c>
      <c r="E372" s="176">
        <v>2.8768830299377441</v>
      </c>
      <c r="F372" s="308">
        <v>3.0581040382385254</v>
      </c>
      <c r="G372" s="158">
        <v>49.222934722900391</v>
      </c>
      <c r="H372" s="2">
        <v>254</v>
      </c>
      <c r="I372" s="2">
        <v>0</v>
      </c>
      <c r="J372" s="58">
        <v>45716</v>
      </c>
    </row>
    <row r="375" spans="1:10" x14ac:dyDescent="0.3">
      <c r="A375" s="105">
        <v>233</v>
      </c>
      <c r="B375" s="2" t="s">
        <v>462</v>
      </c>
      <c r="C375" s="87">
        <v>79.45</v>
      </c>
      <c r="D375" s="176">
        <v>2.9326622486114502</v>
      </c>
      <c r="E375" s="178">
        <v>3.423537015914917</v>
      </c>
      <c r="F375" s="310">
        <v>3.5745754241943359</v>
      </c>
      <c r="G375" s="159">
        <v>59.660320281982422</v>
      </c>
      <c r="H375" s="2">
        <v>272</v>
      </c>
      <c r="I375" s="2">
        <v>0</v>
      </c>
      <c r="J375" s="58">
        <v>45779</v>
      </c>
    </row>
  </sheetData>
  <phoneticPr fontId="1" type="noConversion"/>
  <conditionalFormatting sqref="J1:J1048576 T1:T1048576 AD1:AD1048576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F1:AF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G2:AG5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{2CE2D4EE-8327-4111-8F9C-D263538A4A17}</x14:id>
        </ext>
      </extLst>
    </cfRule>
  </conditionalFormatting>
  <conditionalFormatting sqref="AG55:AG15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{DC74AEA6-E235-4A97-A218-FF85C7451B9C}</x14:id>
        </ext>
      </extLst>
    </cfRule>
  </conditionalFormatting>
  <conditionalFormatting sqref="AG242:AG42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{1C1692BA-D680-469D-A2DB-BE6F1E1BFFAF}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2D4EE-8327-4111-8F9C-D263538A4A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AG2:AG54</xm:sqref>
        </x14:conditionalFormatting>
        <x14:conditionalFormatting xmlns:xm="http://schemas.microsoft.com/office/excel/2006/main">
          <x14:cfRule type="dataBar" id="{DC74AEA6-E235-4A97-A218-FF85C7451B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AG55:AG154</xm:sqref>
        </x14:conditionalFormatting>
        <x14:conditionalFormatting xmlns:xm="http://schemas.microsoft.com/office/excel/2006/main">
          <x14:cfRule type="dataBar" id="{1C1692BA-D680-469D-A2DB-BE6F1E1BFF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AG242:AG420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FC000"/>
  </sheetPr>
  <dimension ref="A1:AO430"/>
  <sheetViews>
    <sheetView zoomScaleNormal="100" workbookViewId="0">
      <pane ySplit="1" topLeftCell="A425" activePane="bottomLeft" state="frozen"/>
      <selection pane="bottomLeft" activeCell="N1" sqref="N1"/>
    </sheetView>
  </sheetViews>
  <sheetFormatPr defaultColWidth="9" defaultRowHeight="12.9" x14ac:dyDescent="0.3"/>
  <cols>
    <col min="1" max="1" width="4.15234375" style="35" bestFit="1" customWidth="1"/>
    <col min="2" max="4" width="5.84375" style="30" bestFit="1" customWidth="1"/>
    <col min="5" max="11" width="4.921875" style="28" bestFit="1" customWidth="1"/>
    <col min="12" max="12" width="3.765625" style="35" bestFit="1" customWidth="1"/>
    <col min="13" max="13" width="5.61328125" style="47" bestFit="1" customWidth="1"/>
    <col min="14" max="14" width="5.921875" style="12" bestFit="1" customWidth="1"/>
    <col min="15" max="19" width="7.4609375" style="29" bestFit="1" customWidth="1"/>
    <col min="20" max="24" width="7.53515625" style="29" bestFit="1" customWidth="1"/>
    <col min="25" max="25" width="5.61328125" style="47" bestFit="1" customWidth="1"/>
    <col min="26" max="35" width="5.15234375" style="12" customWidth="1"/>
    <col min="36" max="36" width="4.15234375" style="35" bestFit="1" customWidth="1"/>
    <col min="37" max="41" width="5.61328125" style="12" customWidth="1"/>
    <col min="42" max="16384" width="9" style="6"/>
  </cols>
  <sheetData>
    <row r="1" spans="1:41" x14ac:dyDescent="0.3">
      <c r="A1" s="35" t="s">
        <v>50</v>
      </c>
      <c r="B1" s="102" t="s">
        <v>24</v>
      </c>
      <c r="C1" s="102" t="s">
        <v>25</v>
      </c>
      <c r="D1" s="102" t="s">
        <v>26</v>
      </c>
      <c r="E1" s="54" t="s">
        <v>27</v>
      </c>
      <c r="F1" s="54" t="s">
        <v>38</v>
      </c>
      <c r="G1" s="54" t="s">
        <v>19</v>
      </c>
      <c r="H1" s="54" t="s">
        <v>39</v>
      </c>
      <c r="I1" s="54" t="s">
        <v>40</v>
      </c>
      <c r="J1" s="54" t="s">
        <v>41</v>
      </c>
      <c r="K1" s="54" t="s">
        <v>341</v>
      </c>
      <c r="L1" s="35" t="s">
        <v>1</v>
      </c>
      <c r="M1" s="47" t="s">
        <v>204</v>
      </c>
      <c r="N1" s="35" t="s">
        <v>234</v>
      </c>
      <c r="O1" s="48" t="s">
        <v>286</v>
      </c>
      <c r="P1" s="48" t="s">
        <v>287</v>
      </c>
      <c r="Q1" s="48" t="s">
        <v>288</v>
      </c>
      <c r="R1" s="48" t="s">
        <v>289</v>
      </c>
      <c r="S1" s="48" t="s">
        <v>290</v>
      </c>
      <c r="T1" s="48" t="s">
        <v>291</v>
      </c>
      <c r="U1" s="48" t="s">
        <v>20</v>
      </c>
      <c r="V1" s="48" t="s">
        <v>21</v>
      </c>
      <c r="W1" s="48" t="s">
        <v>22</v>
      </c>
      <c r="X1" s="48" t="s">
        <v>23</v>
      </c>
      <c r="Y1" s="49" t="s">
        <v>145</v>
      </c>
      <c r="Z1" s="48" t="s">
        <v>28</v>
      </c>
      <c r="AA1" s="48" t="s">
        <v>29</v>
      </c>
      <c r="AB1" s="48" t="s">
        <v>30</v>
      </c>
      <c r="AC1" s="48" t="s">
        <v>31</v>
      </c>
      <c r="AD1" s="48" t="s">
        <v>32</v>
      </c>
      <c r="AE1" s="48" t="s">
        <v>33</v>
      </c>
      <c r="AF1" s="48" t="s">
        <v>34</v>
      </c>
      <c r="AG1" s="48" t="s">
        <v>35</v>
      </c>
      <c r="AH1" s="48" t="s">
        <v>36</v>
      </c>
      <c r="AI1" s="48" t="s">
        <v>37</v>
      </c>
      <c r="AJ1" s="35" t="s">
        <v>52</v>
      </c>
      <c r="AK1" s="35" t="str">
        <f>B1</f>
        <v>1st</v>
      </c>
      <c r="AL1" s="35" t="str">
        <f>C1</f>
        <v>2nd</v>
      </c>
      <c r="AM1" s="35" t="str">
        <f>D1</f>
        <v>3rd</v>
      </c>
      <c r="AN1" s="35" t="str">
        <f>E1</f>
        <v>4th</v>
      </c>
      <c r="AO1" s="35" t="str">
        <f>F1</f>
        <v>5th</v>
      </c>
    </row>
    <row r="2" spans="1:41" x14ac:dyDescent="0.3">
      <c r="A2" s="35">
        <v>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14" t="s">
        <v>17</v>
      </c>
      <c r="M2" s="47">
        <v>4.9274309052372541E-3</v>
      </c>
      <c r="N2" s="35" t="s">
        <v>274</v>
      </c>
      <c r="O2" s="160">
        <v>2.9181119028204479</v>
      </c>
      <c r="P2" s="164">
        <v>2.6733684531429649</v>
      </c>
      <c r="Q2" s="164">
        <v>2.5550195833769171</v>
      </c>
      <c r="R2" s="167">
        <v>2.4575602465086122</v>
      </c>
      <c r="S2" s="167">
        <v>2.3644988122670472</v>
      </c>
      <c r="T2" s="167">
        <v>2.33434480275502</v>
      </c>
      <c r="U2" s="167">
        <v>2.2986979423769256</v>
      </c>
      <c r="V2" s="169">
        <v>2.2374238971899603</v>
      </c>
      <c r="W2" s="169">
        <v>2.0348720276997438</v>
      </c>
      <c r="X2" s="173">
        <v>1.9846253910570208</v>
      </c>
      <c r="Y2" s="48">
        <v>6.1418979555567574</v>
      </c>
      <c r="AB2" s="12">
        <v>2</v>
      </c>
      <c r="AC2" s="87">
        <v>3</v>
      </c>
      <c r="AD2" s="87">
        <v>4</v>
      </c>
      <c r="AE2" s="171">
        <v>5</v>
      </c>
      <c r="AF2" s="86">
        <v>6</v>
      </c>
      <c r="AG2" s="81">
        <v>7</v>
      </c>
      <c r="AH2" s="171">
        <v>8</v>
      </c>
      <c r="AI2" s="16">
        <v>9</v>
      </c>
      <c r="AJ2" s="35">
        <v>2</v>
      </c>
    </row>
    <row r="3" spans="1:41" x14ac:dyDescent="0.3">
      <c r="A3" s="35">
        <v>3</v>
      </c>
      <c r="B3" s="214">
        <v>1.1278195381164551</v>
      </c>
      <c r="C3" s="32"/>
      <c r="D3" s="32"/>
      <c r="E3" s="32"/>
      <c r="F3" s="32"/>
      <c r="G3" s="32"/>
      <c r="H3" s="32"/>
      <c r="I3" s="32"/>
      <c r="J3" s="32"/>
      <c r="K3" s="32"/>
      <c r="L3" s="15" t="s">
        <v>18</v>
      </c>
      <c r="M3" s="47">
        <v>2.501831762535291E-2</v>
      </c>
      <c r="N3" s="135" t="s">
        <v>265</v>
      </c>
      <c r="O3" s="161">
        <v>3.7137604924595466</v>
      </c>
      <c r="P3" s="161">
        <v>3.6242332708295977</v>
      </c>
      <c r="Q3" s="154">
        <v>3.470914090573364</v>
      </c>
      <c r="R3" s="154">
        <v>3.3884852963434136</v>
      </c>
      <c r="S3" s="154">
        <v>3.3471123863346373</v>
      </c>
      <c r="T3" s="154">
        <v>3.308799150535747</v>
      </c>
      <c r="U3" s="154">
        <v>3.2614049140130885</v>
      </c>
      <c r="V3" s="165">
        <v>3.2396401840115661</v>
      </c>
      <c r="W3" s="165">
        <v>3.1900063227122541</v>
      </c>
      <c r="X3" s="165">
        <v>3.1719955695376409</v>
      </c>
      <c r="Y3" s="134">
        <v>62.704664098782473</v>
      </c>
      <c r="Z3" s="16">
        <v>10</v>
      </c>
      <c r="AA3" s="204">
        <v>11</v>
      </c>
      <c r="AB3" s="204">
        <v>12</v>
      </c>
      <c r="AC3" s="203">
        <v>13</v>
      </c>
      <c r="AD3" s="203">
        <v>14</v>
      </c>
      <c r="AE3" s="80">
        <v>15</v>
      </c>
      <c r="AF3" s="15">
        <v>16</v>
      </c>
      <c r="AG3" s="191">
        <v>17</v>
      </c>
      <c r="AH3" s="203">
        <v>18</v>
      </c>
      <c r="AI3" s="14">
        <v>19</v>
      </c>
      <c r="AJ3" s="35">
        <v>3</v>
      </c>
      <c r="AK3" s="78">
        <v>2.66</v>
      </c>
    </row>
    <row r="4" spans="1:41" x14ac:dyDescent="0.3">
      <c r="A4" s="35">
        <v>4</v>
      </c>
      <c r="B4" s="214">
        <v>1.4134275913238525</v>
      </c>
      <c r="C4" s="214">
        <v>1.3793102502822876</v>
      </c>
      <c r="D4" s="32"/>
      <c r="E4" s="32"/>
      <c r="F4" s="32"/>
      <c r="G4" s="32"/>
      <c r="H4" s="32"/>
      <c r="I4" s="32"/>
      <c r="J4" s="32"/>
      <c r="K4" s="32"/>
      <c r="L4" s="15" t="s">
        <v>18</v>
      </c>
      <c r="M4" s="47">
        <v>8.7497836604970736E-2</v>
      </c>
      <c r="N4" s="135" t="s">
        <v>266</v>
      </c>
      <c r="O4" s="156">
        <v>3.9840288321643538</v>
      </c>
      <c r="P4" s="156">
        <v>3.783542721043252</v>
      </c>
      <c r="Q4" s="161">
        <v>3.6691271680730759</v>
      </c>
      <c r="R4" s="161">
        <v>3.580438073652171</v>
      </c>
      <c r="S4" s="154">
        <v>3.4774006039435883</v>
      </c>
      <c r="T4" s="154">
        <v>3.4267268646727533</v>
      </c>
      <c r="U4" s="154">
        <v>3.3939546797367415</v>
      </c>
      <c r="V4" s="154">
        <v>3.3443992481760207</v>
      </c>
      <c r="W4" s="154">
        <v>3.3226949277222424</v>
      </c>
      <c r="X4" s="154">
        <v>3.2772829397546523</v>
      </c>
      <c r="Y4" s="134">
        <v>28.871927092274589</v>
      </c>
      <c r="Z4" s="14">
        <v>20</v>
      </c>
      <c r="AA4" s="203">
        <v>21</v>
      </c>
      <c r="AB4" s="203">
        <v>22</v>
      </c>
      <c r="AC4" s="191">
        <v>23</v>
      </c>
      <c r="AD4" s="212">
        <v>24</v>
      </c>
      <c r="AE4" s="14">
        <v>25</v>
      </c>
      <c r="AF4" s="15">
        <v>26</v>
      </c>
      <c r="AG4" s="78">
        <v>27</v>
      </c>
      <c r="AH4" s="203">
        <v>28</v>
      </c>
      <c r="AI4" s="80">
        <v>29</v>
      </c>
      <c r="AJ4" s="35">
        <v>4</v>
      </c>
      <c r="AK4" s="78">
        <v>2.83</v>
      </c>
      <c r="AL4" s="78">
        <v>2.9</v>
      </c>
    </row>
    <row r="5" spans="1:41" x14ac:dyDescent="0.3">
      <c r="A5" s="35">
        <v>5</v>
      </c>
      <c r="B5" s="215">
        <v>2.7173912525177002</v>
      </c>
      <c r="C5" s="215">
        <v>2.5252525806427002</v>
      </c>
      <c r="D5" s="216">
        <v>2.1186442375183105</v>
      </c>
      <c r="E5" s="216">
        <v>2.1186442375183105</v>
      </c>
      <c r="F5" s="216">
        <v>2.1008403301239014</v>
      </c>
      <c r="G5" s="217">
        <v>1.9157088994979858</v>
      </c>
      <c r="H5" s="217">
        <v>1.831501841545105</v>
      </c>
      <c r="I5" s="217">
        <v>1.7605634927749634</v>
      </c>
      <c r="J5" s="217">
        <v>1.7421603202819824</v>
      </c>
      <c r="K5" s="214">
        <v>1.3661202192306519</v>
      </c>
      <c r="L5" s="16" t="s">
        <v>15</v>
      </c>
      <c r="M5" s="47">
        <v>0.23633109816468159</v>
      </c>
      <c r="N5" s="35" t="s">
        <v>267</v>
      </c>
      <c r="O5" s="154">
        <v>3.2693379654004078</v>
      </c>
      <c r="P5" s="160">
        <v>2.8778622985825022</v>
      </c>
      <c r="Q5" s="167">
        <v>2.3012905859474584</v>
      </c>
      <c r="R5" s="263">
        <v>1.1452621136959737</v>
      </c>
      <c r="S5" s="262">
        <v>0.81953060478919804</v>
      </c>
      <c r="T5" s="266">
        <v>0</v>
      </c>
      <c r="U5" s="3">
        <v>0</v>
      </c>
      <c r="V5" s="3">
        <v>0</v>
      </c>
      <c r="W5" s="3">
        <v>0</v>
      </c>
      <c r="X5" s="3">
        <v>0</v>
      </c>
      <c r="Y5" s="48">
        <v>2.2810017468745505</v>
      </c>
      <c r="Z5" s="191">
        <v>30</v>
      </c>
      <c r="AA5" s="80">
        <v>31</v>
      </c>
      <c r="AB5" s="81">
        <v>32</v>
      </c>
      <c r="AC5" s="80">
        <v>33</v>
      </c>
      <c r="AD5" s="191">
        <v>34</v>
      </c>
      <c r="AE5" s="81">
        <v>35</v>
      </c>
      <c r="AF5" s="12">
        <v>36</v>
      </c>
      <c r="AG5" s="16">
        <v>37</v>
      </c>
      <c r="AH5" s="12">
        <v>38</v>
      </c>
      <c r="AI5" s="12">
        <v>39</v>
      </c>
      <c r="AJ5" s="35">
        <v>5</v>
      </c>
      <c r="AK5" s="18">
        <v>1.84</v>
      </c>
      <c r="AL5" s="18">
        <v>1.98</v>
      </c>
      <c r="AM5" s="77">
        <v>2.36</v>
      </c>
      <c r="AN5" s="77">
        <v>2.36</v>
      </c>
      <c r="AO5" s="77">
        <v>2.38</v>
      </c>
    </row>
    <row r="6" spans="1:41" x14ac:dyDescent="0.3">
      <c r="A6" s="35">
        <v>6</v>
      </c>
      <c r="B6" s="217">
        <v>1.954397439956665</v>
      </c>
      <c r="C6" s="312">
        <v>1.8867924213409424</v>
      </c>
      <c r="D6" s="217">
        <v>1.7751479148864746</v>
      </c>
      <c r="E6" s="217">
        <v>1.6949152946472168</v>
      </c>
      <c r="F6" s="217">
        <v>1.680672287940979</v>
      </c>
      <c r="G6" s="217">
        <v>1.6759777069091797</v>
      </c>
      <c r="H6" s="217">
        <v>1.6085790395736694</v>
      </c>
      <c r="I6" s="217">
        <v>1.5748031139373779</v>
      </c>
      <c r="J6" s="214"/>
      <c r="K6" s="32"/>
      <c r="L6" s="16" t="s">
        <v>15</v>
      </c>
      <c r="M6" s="47">
        <v>0.52574312426614001</v>
      </c>
      <c r="N6" s="16" t="s">
        <v>267</v>
      </c>
      <c r="O6" s="262">
        <v>0.67920224853394917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48">
        <v>0.80520922540000006</v>
      </c>
      <c r="Z6" s="12">
        <v>40</v>
      </c>
      <c r="AA6" s="12">
        <v>41</v>
      </c>
      <c r="AB6" s="12">
        <v>42</v>
      </c>
      <c r="AC6" s="12">
        <v>43</v>
      </c>
      <c r="AD6" s="12">
        <v>44</v>
      </c>
      <c r="AE6" s="12">
        <v>45</v>
      </c>
      <c r="AF6" s="12">
        <v>46</v>
      </c>
      <c r="AG6" s="12">
        <v>47</v>
      </c>
      <c r="AH6" s="12">
        <v>48</v>
      </c>
      <c r="AI6" s="12">
        <v>49</v>
      </c>
      <c r="AJ6" s="35">
        <v>6</v>
      </c>
      <c r="AK6" s="79">
        <v>3.07</v>
      </c>
      <c r="AL6" s="250">
        <v>3.18</v>
      </c>
      <c r="AM6" s="79">
        <v>3.38</v>
      </c>
      <c r="AN6" s="14">
        <v>3.54</v>
      </c>
      <c r="AO6" s="14">
        <v>3.57</v>
      </c>
    </row>
    <row r="7" spans="1:41" x14ac:dyDescent="0.3">
      <c r="A7" s="35">
        <v>7</v>
      </c>
      <c r="B7" s="218">
        <v>3.4313726425170898</v>
      </c>
      <c r="C7" s="215">
        <v>2.5641026496887207</v>
      </c>
      <c r="D7" s="215">
        <v>2.5547444820404053</v>
      </c>
      <c r="E7" s="215">
        <v>2.5</v>
      </c>
      <c r="F7" s="216">
        <v>2.2082018852233887</v>
      </c>
      <c r="G7" s="216">
        <v>2.1021020412445068</v>
      </c>
      <c r="H7" s="216">
        <v>2.0289855003356934</v>
      </c>
      <c r="I7" s="216">
        <v>2.0172910690307617</v>
      </c>
      <c r="J7" s="217">
        <v>1.9607843160629272</v>
      </c>
      <c r="K7" s="217">
        <v>1.9283746480941772</v>
      </c>
      <c r="L7" s="35" t="s">
        <v>43</v>
      </c>
      <c r="M7" s="47">
        <v>1.0033075113947278</v>
      </c>
      <c r="N7" s="135" t="s">
        <v>259</v>
      </c>
      <c r="O7" s="164">
        <v>2.5352088685985406</v>
      </c>
      <c r="P7" s="169">
        <v>2.1005086287860091</v>
      </c>
      <c r="Q7" s="173">
        <v>1.6532883024898466</v>
      </c>
      <c r="R7" s="173">
        <v>1.6127884074202414</v>
      </c>
      <c r="S7" s="173">
        <v>1.5929219113875932</v>
      </c>
      <c r="T7" s="173">
        <v>1.5236257989459754</v>
      </c>
      <c r="U7" s="263">
        <v>1.3750386227613542</v>
      </c>
      <c r="V7" s="263">
        <v>1.2634656576981345</v>
      </c>
      <c r="W7" s="262">
        <v>0.77672946239295326</v>
      </c>
      <c r="X7" s="262">
        <v>0.77232522980529894</v>
      </c>
      <c r="Y7" s="134">
        <v>7.856671798999999</v>
      </c>
      <c r="AA7" s="12">
        <v>51</v>
      </c>
      <c r="AD7" s="12">
        <v>54</v>
      </c>
      <c r="AJ7" s="35">
        <v>7</v>
      </c>
      <c r="AK7" s="77">
        <v>2.04</v>
      </c>
      <c r="AL7" s="78">
        <v>2.73</v>
      </c>
      <c r="AM7" s="78">
        <v>2.74</v>
      </c>
      <c r="AN7" s="78">
        <v>2.8</v>
      </c>
      <c r="AO7" s="79">
        <v>3.17</v>
      </c>
    </row>
    <row r="8" spans="1:41" x14ac:dyDescent="0.3">
      <c r="A8" s="35">
        <v>8</v>
      </c>
      <c r="B8" s="215">
        <v>2.7397260665893555</v>
      </c>
      <c r="C8" s="215">
        <v>2.6666667461395264</v>
      </c>
      <c r="D8" s="215">
        <v>2.6315789222717285</v>
      </c>
      <c r="E8" s="215">
        <v>2.5396823883056641</v>
      </c>
      <c r="F8" s="215">
        <v>2.5</v>
      </c>
      <c r="G8" s="219">
        <v>2.4922118186950684</v>
      </c>
      <c r="H8" s="219">
        <v>2.461538553237915</v>
      </c>
      <c r="I8" s="219">
        <v>2.4390244483947754</v>
      </c>
      <c r="J8" s="219">
        <v>2.3391811847686768</v>
      </c>
      <c r="K8" s="219">
        <v>2.3323614597320557</v>
      </c>
      <c r="L8" s="35" t="s">
        <v>43</v>
      </c>
      <c r="M8" s="47">
        <v>1.6901763028598318</v>
      </c>
      <c r="N8" s="135" t="s">
        <v>272</v>
      </c>
      <c r="O8" s="160">
        <v>2.8998423941319644</v>
      </c>
      <c r="P8" s="164">
        <v>2.6933183611906348</v>
      </c>
      <c r="Q8" s="164">
        <v>2.5818064698897563</v>
      </c>
      <c r="R8" s="164">
        <v>2.5657296475457758</v>
      </c>
      <c r="S8" s="164">
        <v>2.5136255506992575</v>
      </c>
      <c r="T8" s="167">
        <v>2.4658135675810335</v>
      </c>
      <c r="U8" s="167">
        <v>2.4307102232388433</v>
      </c>
      <c r="V8" s="169">
        <v>2.2168060682646433</v>
      </c>
      <c r="W8" s="173">
        <v>1.7927799645032112</v>
      </c>
      <c r="X8" s="173">
        <v>1.77384240331751</v>
      </c>
      <c r="Y8" s="134">
        <v>24.8061785445</v>
      </c>
      <c r="Z8" s="12">
        <v>30</v>
      </c>
      <c r="AA8" s="87">
        <v>31</v>
      </c>
      <c r="AB8" s="12">
        <v>32</v>
      </c>
      <c r="AC8" s="12">
        <v>33</v>
      </c>
      <c r="AD8" s="12">
        <v>34</v>
      </c>
      <c r="AE8" s="85">
        <v>35</v>
      </c>
      <c r="AF8" s="12">
        <v>36</v>
      </c>
      <c r="AG8" s="12">
        <v>37</v>
      </c>
      <c r="AH8" s="84">
        <v>38</v>
      </c>
      <c r="AI8" s="87">
        <v>39</v>
      </c>
      <c r="AJ8" s="35">
        <v>8</v>
      </c>
      <c r="AK8" s="78">
        <v>2.92</v>
      </c>
      <c r="AL8" s="79">
        <v>3</v>
      </c>
      <c r="AM8" s="79">
        <v>3.04</v>
      </c>
      <c r="AN8" s="79">
        <v>3.15</v>
      </c>
      <c r="AO8" s="79">
        <v>3.2</v>
      </c>
    </row>
    <row r="9" spans="1:41" x14ac:dyDescent="0.3">
      <c r="A9" s="35">
        <v>9</v>
      </c>
      <c r="B9" s="220">
        <v>3.1249997615814209</v>
      </c>
      <c r="C9" s="221">
        <v>2.97029709815979</v>
      </c>
      <c r="D9" s="221">
        <v>2.8213164806365967</v>
      </c>
      <c r="E9" s="215">
        <v>2.6865673065185547</v>
      </c>
      <c r="F9" s="215">
        <v>2.6086955070495605</v>
      </c>
      <c r="G9" s="215">
        <v>2.6011559963226318</v>
      </c>
      <c r="H9" s="215">
        <v>2.5862069129943848</v>
      </c>
      <c r="I9" s="219">
        <v>2.4725275039672852</v>
      </c>
      <c r="J9" s="219">
        <v>2.4000000953674316</v>
      </c>
      <c r="K9" s="219">
        <v>2.331606388092041</v>
      </c>
      <c r="L9" s="35" t="s">
        <v>43</v>
      </c>
      <c r="M9" s="47">
        <v>2.5688963337358155</v>
      </c>
      <c r="N9" s="135" t="s">
        <v>260</v>
      </c>
      <c r="O9" s="165">
        <v>3.1092285523510421</v>
      </c>
      <c r="P9" s="160">
        <v>2.9523537558401478</v>
      </c>
      <c r="Q9" s="160">
        <v>2.8764418380836192</v>
      </c>
      <c r="R9" s="160">
        <v>2.8422060137402565</v>
      </c>
      <c r="S9" s="160">
        <v>2.8159844700749415</v>
      </c>
      <c r="T9" s="160">
        <v>2.7863531798556389</v>
      </c>
      <c r="U9" s="160">
        <v>2.7504422097775318</v>
      </c>
      <c r="V9" s="164">
        <v>2.7260722687328527</v>
      </c>
      <c r="W9" s="164">
        <v>2.6831014763934253</v>
      </c>
      <c r="X9" s="164">
        <v>2.6359065694562656</v>
      </c>
      <c r="Y9" s="134">
        <v>33.1416924006</v>
      </c>
      <c r="Z9" s="171">
        <v>40</v>
      </c>
      <c r="AA9" s="85">
        <v>41</v>
      </c>
      <c r="AB9" s="194">
        <v>42</v>
      </c>
      <c r="AC9" s="188">
        <v>43</v>
      </c>
      <c r="AD9" s="84">
        <v>44</v>
      </c>
      <c r="AE9" s="85">
        <v>45</v>
      </c>
      <c r="AF9" s="171">
        <v>46</v>
      </c>
      <c r="AG9" s="193">
        <v>47</v>
      </c>
      <c r="AH9" s="171">
        <v>48</v>
      </c>
      <c r="AI9" s="82">
        <v>49</v>
      </c>
      <c r="AJ9" s="35">
        <v>9</v>
      </c>
      <c r="AK9" s="78">
        <v>2.88</v>
      </c>
      <c r="AL9" s="79">
        <v>3.03</v>
      </c>
      <c r="AM9" s="79">
        <v>3.19</v>
      </c>
      <c r="AN9" s="79">
        <v>3.35</v>
      </c>
      <c r="AO9" s="79">
        <v>3.45</v>
      </c>
    </row>
    <row r="10" spans="1:41" x14ac:dyDescent="0.3">
      <c r="A10" s="35">
        <v>10</v>
      </c>
      <c r="B10" s="222">
        <v>3.0395138263702393</v>
      </c>
      <c r="C10" s="223">
        <v>2.9239766597747803</v>
      </c>
      <c r="D10" s="223">
        <v>2.9154517650604248</v>
      </c>
      <c r="E10" s="224">
        <v>2.8089888095855713</v>
      </c>
      <c r="F10" s="224">
        <v>2.7932960987091064</v>
      </c>
      <c r="G10" s="224">
        <v>2.7548208236694336</v>
      </c>
      <c r="H10" s="225">
        <v>2.7100269794464111</v>
      </c>
      <c r="I10" s="225">
        <v>2.6737968921661377</v>
      </c>
      <c r="J10" s="225">
        <v>2.6666667461395264</v>
      </c>
      <c r="K10" s="225">
        <v>2.6666667461395264</v>
      </c>
      <c r="L10" s="35" t="s">
        <v>43</v>
      </c>
      <c r="M10" s="47">
        <v>3.5819156493052091</v>
      </c>
      <c r="N10" s="135" t="s">
        <v>261</v>
      </c>
      <c r="O10" s="165">
        <v>3.1403013499592998</v>
      </c>
      <c r="P10" s="160">
        <v>2.9673295126642598</v>
      </c>
      <c r="Q10" s="160">
        <v>2.8862357709904147</v>
      </c>
      <c r="R10" s="160">
        <v>2.8260564134057651</v>
      </c>
      <c r="S10" s="164">
        <v>2.7453079806179943</v>
      </c>
      <c r="T10" s="164">
        <v>2.6975915715860315</v>
      </c>
      <c r="U10" s="167">
        <v>2.4010823929127305</v>
      </c>
      <c r="V10" s="167">
        <v>2.3315555885283343</v>
      </c>
      <c r="W10" s="173">
        <v>1.6183151286226507</v>
      </c>
      <c r="X10" s="263">
        <v>1.3247046949637111</v>
      </c>
      <c r="Y10" s="134">
        <v>22.353154878600002</v>
      </c>
      <c r="Z10" s="193">
        <v>50</v>
      </c>
      <c r="AA10" s="171">
        <v>51</v>
      </c>
      <c r="AB10" s="194">
        <v>52</v>
      </c>
      <c r="AC10" s="190">
        <v>53</v>
      </c>
      <c r="AD10" s="171">
        <v>54</v>
      </c>
      <c r="AE10" s="82">
        <v>55</v>
      </c>
      <c r="AF10" s="190">
        <v>56</v>
      </c>
      <c r="AG10" s="82">
        <v>57</v>
      </c>
      <c r="AH10" s="194">
        <v>58</v>
      </c>
      <c r="AI10" s="82">
        <v>59</v>
      </c>
      <c r="AJ10" s="35">
        <v>10</v>
      </c>
      <c r="AK10" s="79">
        <v>3.29</v>
      </c>
      <c r="AL10" s="79">
        <v>3.42</v>
      </c>
      <c r="AM10" s="79">
        <v>3.43</v>
      </c>
      <c r="AN10" s="14">
        <v>3.56</v>
      </c>
      <c r="AO10" s="14">
        <v>3.58</v>
      </c>
    </row>
    <row r="11" spans="1:41" x14ac:dyDescent="0.3">
      <c r="A11" s="35">
        <v>11</v>
      </c>
      <c r="B11" s="243">
        <v>3.4700314998626709</v>
      </c>
      <c r="C11" s="226">
        <v>3.3536586761474609</v>
      </c>
      <c r="D11" s="222">
        <v>3.1884057521820068</v>
      </c>
      <c r="E11" s="227">
        <v>3.1700286865234375</v>
      </c>
      <c r="F11" s="227">
        <v>3.1161472797393799</v>
      </c>
      <c r="G11" s="227">
        <v>3.0726258754730225</v>
      </c>
      <c r="H11" s="227">
        <v>3.0386741161346436</v>
      </c>
      <c r="I11" s="227">
        <v>3.0303030014038086</v>
      </c>
      <c r="J11" s="227">
        <v>3.0136985778808594</v>
      </c>
      <c r="K11" s="224">
        <v>2.9972751140594482</v>
      </c>
      <c r="L11" s="35" t="s">
        <v>43</v>
      </c>
      <c r="M11" s="47">
        <v>4.6326216305133707</v>
      </c>
      <c r="N11" s="135" t="s">
        <v>262</v>
      </c>
      <c r="O11" s="160">
        <v>2.8228321236607452</v>
      </c>
      <c r="P11" s="164">
        <v>2.6314264687106421</v>
      </c>
      <c r="Q11" s="164">
        <v>2.5307668164893911</v>
      </c>
      <c r="R11" s="167">
        <v>2.3068125365510781</v>
      </c>
      <c r="S11" s="173">
        <v>1.5622723955611677</v>
      </c>
      <c r="T11" s="263">
        <v>1.3174711131433505</v>
      </c>
      <c r="U11" s="262">
        <v>0.71720252555231678</v>
      </c>
      <c r="V11" s="266">
        <v>0.3696989887653957</v>
      </c>
      <c r="W11" s="266">
        <v>0.36484970830279584</v>
      </c>
      <c r="X11" s="266">
        <v>0.34219358746044554</v>
      </c>
      <c r="Y11" s="134">
        <v>8.5986538596999988</v>
      </c>
      <c r="Z11" s="204">
        <v>60</v>
      </c>
      <c r="AA11" s="190">
        <v>61</v>
      </c>
      <c r="AB11" s="190">
        <v>62</v>
      </c>
      <c r="AC11" s="194">
        <v>63</v>
      </c>
      <c r="AD11" s="194">
        <v>64</v>
      </c>
      <c r="AE11" s="16">
        <v>65</v>
      </c>
      <c r="AF11" s="204">
        <v>66</v>
      </c>
      <c r="AG11" s="190">
        <v>67</v>
      </c>
      <c r="AH11" s="190">
        <v>68</v>
      </c>
      <c r="AI11" s="16">
        <v>69</v>
      </c>
      <c r="AJ11" s="35">
        <v>11</v>
      </c>
      <c r="AK11" s="250">
        <v>3.17</v>
      </c>
      <c r="AL11" s="79">
        <v>3.28</v>
      </c>
      <c r="AM11" s="79">
        <v>3.45</v>
      </c>
      <c r="AN11" s="79">
        <v>3.47</v>
      </c>
      <c r="AO11" s="14">
        <v>3.53</v>
      </c>
    </row>
    <row r="12" spans="1:41" x14ac:dyDescent="0.3">
      <c r="A12" s="35">
        <v>12</v>
      </c>
      <c r="B12" s="243">
        <v>3.3898305892944336</v>
      </c>
      <c r="C12" s="243">
        <v>3.3707866668701172</v>
      </c>
      <c r="D12" s="222">
        <v>3.1914894580841064</v>
      </c>
      <c r="E12" s="227">
        <v>3.1914894580841064</v>
      </c>
      <c r="F12" s="227">
        <v>3.1088082790374756</v>
      </c>
      <c r="G12" s="227">
        <v>3.1088082790374756</v>
      </c>
      <c r="H12" s="224">
        <v>2.9776673316955566</v>
      </c>
      <c r="I12" s="224">
        <v>2.9776673316955566</v>
      </c>
      <c r="J12" s="224">
        <v>2.9197080135345459</v>
      </c>
      <c r="K12" s="224">
        <v>2.9126214981079102</v>
      </c>
      <c r="L12" s="35" t="s">
        <v>43</v>
      </c>
      <c r="M12" s="47">
        <v>5.628372001185955</v>
      </c>
      <c r="N12" s="16" t="s">
        <v>263</v>
      </c>
      <c r="O12" s="167">
        <v>2.4331865098145746</v>
      </c>
      <c r="P12" s="173">
        <v>1.5221941702624151</v>
      </c>
      <c r="Q12" s="262">
        <v>0.73400165210824264</v>
      </c>
      <c r="R12" s="262">
        <v>0.70622824344705437</v>
      </c>
      <c r="S12" s="266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48">
        <v>2.0569727529000001</v>
      </c>
      <c r="Z12" s="190">
        <v>70</v>
      </c>
      <c r="AA12" s="190">
        <v>71</v>
      </c>
      <c r="AB12" s="81">
        <v>72</v>
      </c>
      <c r="AC12" s="190">
        <v>73</v>
      </c>
      <c r="AD12" s="16">
        <v>74</v>
      </c>
      <c r="AE12" s="190">
        <v>75</v>
      </c>
      <c r="AF12" s="82">
        <v>76</v>
      </c>
      <c r="AG12" s="16">
        <v>77</v>
      </c>
      <c r="AH12" s="190">
        <v>78</v>
      </c>
      <c r="AI12" s="190">
        <v>79</v>
      </c>
      <c r="AJ12" s="35">
        <v>12</v>
      </c>
      <c r="AK12" s="212">
        <v>3.54</v>
      </c>
      <c r="AL12" s="212">
        <v>3.56</v>
      </c>
      <c r="AM12" s="14">
        <v>3.76</v>
      </c>
      <c r="AN12" s="14">
        <v>3.76</v>
      </c>
      <c r="AO12" s="14">
        <v>3.86</v>
      </c>
    </row>
    <row r="13" spans="1:41" x14ac:dyDescent="0.3">
      <c r="A13" s="35">
        <v>13</v>
      </c>
      <c r="B13" s="241">
        <v>3.9039039611816406</v>
      </c>
      <c r="C13" s="241">
        <v>3.8922157287597656</v>
      </c>
      <c r="D13" s="243">
        <v>3.4210526943206787</v>
      </c>
      <c r="E13" s="227">
        <v>3.2338309288024902</v>
      </c>
      <c r="F13" s="227">
        <v>3.2258062362670898</v>
      </c>
      <c r="G13" s="227">
        <v>3.1553399562835693</v>
      </c>
      <c r="H13" s="227">
        <v>3.1476995944976807</v>
      </c>
      <c r="I13" s="227">
        <v>3.1400966644287109</v>
      </c>
      <c r="J13" s="227">
        <v>3.0732860565185547</v>
      </c>
      <c r="K13" s="227">
        <v>3.0516431331634521</v>
      </c>
      <c r="L13" s="35" t="s">
        <v>43</v>
      </c>
      <c r="M13" s="47">
        <v>6.4603584784854933</v>
      </c>
      <c r="N13" s="16" t="s">
        <v>264</v>
      </c>
      <c r="O13" s="263">
        <v>1.4597080010546182</v>
      </c>
      <c r="P13" s="266">
        <v>0.46457457264987095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48">
        <v>0.3643296452</v>
      </c>
      <c r="Z13" s="204">
        <v>80</v>
      </c>
      <c r="AA13" s="190">
        <v>81</v>
      </c>
      <c r="AB13" s="16">
        <v>82</v>
      </c>
      <c r="AC13" s="16">
        <v>83</v>
      </c>
      <c r="AD13" s="190">
        <v>84</v>
      </c>
      <c r="AE13" s="190">
        <v>85</v>
      </c>
      <c r="AF13" s="190">
        <v>86</v>
      </c>
      <c r="AG13" s="193">
        <v>87</v>
      </c>
      <c r="AH13" s="81">
        <v>88</v>
      </c>
      <c r="AI13" s="12">
        <v>89</v>
      </c>
      <c r="AJ13" s="35">
        <v>13</v>
      </c>
      <c r="AK13" s="250">
        <v>3.33</v>
      </c>
      <c r="AL13" s="250">
        <v>3.34</v>
      </c>
      <c r="AM13" s="212">
        <v>3.8</v>
      </c>
      <c r="AN13" s="80">
        <v>4.0199999999999996</v>
      </c>
      <c r="AO13" s="80">
        <v>4.03</v>
      </c>
    </row>
    <row r="14" spans="1:41" x14ac:dyDescent="0.3">
      <c r="A14" s="35">
        <v>14</v>
      </c>
      <c r="B14" s="241">
        <v>3.7533512115478516</v>
      </c>
      <c r="C14" s="229">
        <v>3.6649215221405029</v>
      </c>
      <c r="D14" s="229">
        <v>3.6363637447357178</v>
      </c>
      <c r="E14" s="230">
        <v>3.3898303508758545</v>
      </c>
      <c r="F14" s="230">
        <v>3.3653848171234131</v>
      </c>
      <c r="G14" s="230">
        <v>3.3573141098022461</v>
      </c>
      <c r="H14" s="230">
        <v>3.3492825031280518</v>
      </c>
      <c r="I14" s="230">
        <v>3.3412888050079346</v>
      </c>
      <c r="J14" s="227">
        <v>3.2110090255737305</v>
      </c>
      <c r="K14" s="227">
        <v>3.2110090255737305</v>
      </c>
      <c r="L14" s="35" t="s">
        <v>43</v>
      </c>
      <c r="M14" s="47">
        <v>7.0769796396159173</v>
      </c>
      <c r="N14" s="14" t="s">
        <v>273</v>
      </c>
      <c r="O14" s="262">
        <v>0.78342481089794591</v>
      </c>
      <c r="P14" s="266">
        <v>0.26308694206311023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48">
        <v>0.84533589190000002</v>
      </c>
      <c r="Z14" s="82">
        <v>90</v>
      </c>
      <c r="AA14" s="190">
        <v>91</v>
      </c>
      <c r="AB14" s="204">
        <v>92</v>
      </c>
      <c r="AC14" s="204">
        <v>93</v>
      </c>
      <c r="AD14" s="16">
        <v>94</v>
      </c>
      <c r="AE14" s="12">
        <v>95</v>
      </c>
      <c r="AF14" s="12">
        <v>96</v>
      </c>
      <c r="AG14" s="12">
        <v>97</v>
      </c>
      <c r="AH14" s="194">
        <v>98</v>
      </c>
      <c r="AI14" s="81">
        <v>99</v>
      </c>
      <c r="AJ14" s="35">
        <v>14</v>
      </c>
      <c r="AK14" s="212">
        <v>3.73</v>
      </c>
      <c r="AL14" s="14">
        <v>3.82</v>
      </c>
      <c r="AM14" s="14">
        <v>3.85</v>
      </c>
      <c r="AN14" s="80">
        <v>4.13</v>
      </c>
      <c r="AO14" s="80">
        <v>4.16</v>
      </c>
    </row>
    <row r="15" spans="1:41" x14ac:dyDescent="0.3">
      <c r="A15" s="35">
        <v>15</v>
      </c>
      <c r="B15" s="228">
        <v>3.7688441276550293</v>
      </c>
      <c r="C15" s="229">
        <v>3.6855034828186035</v>
      </c>
      <c r="D15" s="229">
        <v>3.6764707565307617</v>
      </c>
      <c r="E15" s="231">
        <v>3.6144578456878662</v>
      </c>
      <c r="F15" s="231">
        <v>3.6057693958282471</v>
      </c>
      <c r="G15" s="231">
        <v>3.5714287757873535</v>
      </c>
      <c r="H15" s="231">
        <v>3.5046727657318115</v>
      </c>
      <c r="I15" s="230">
        <v>3.4642033576965332</v>
      </c>
      <c r="J15" s="230">
        <v>3.4168565273284912</v>
      </c>
      <c r="K15" s="230">
        <v>3.3632285594940186</v>
      </c>
      <c r="L15" s="35" t="s">
        <v>43</v>
      </c>
      <c r="M15" s="47">
        <v>7.4033921110225611</v>
      </c>
      <c r="N15" s="14" t="s">
        <v>268</v>
      </c>
      <c r="O15" s="173">
        <v>1.8464334459762055</v>
      </c>
      <c r="P15" s="263">
        <v>1.2625669747227357</v>
      </c>
      <c r="Q15" s="266">
        <v>0.32645077625259494</v>
      </c>
      <c r="R15" s="266">
        <v>0.32508914553971408</v>
      </c>
      <c r="S15" s="266">
        <v>0.3237387818942562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48">
        <v>2.6629438406000001</v>
      </c>
      <c r="Z15" s="191">
        <v>100</v>
      </c>
      <c r="AA15" s="16">
        <v>101</v>
      </c>
      <c r="AB15" s="84">
        <v>102</v>
      </c>
      <c r="AC15" s="12">
        <v>103</v>
      </c>
      <c r="AD15" s="12">
        <v>104</v>
      </c>
      <c r="AE15" s="12">
        <v>105</v>
      </c>
      <c r="AF15" s="12">
        <v>106</v>
      </c>
      <c r="AG15" s="12">
        <v>107</v>
      </c>
      <c r="AH15" s="12">
        <v>108</v>
      </c>
      <c r="AI15" s="12">
        <v>109</v>
      </c>
      <c r="AJ15" s="35">
        <v>15</v>
      </c>
      <c r="AK15" s="14">
        <v>3.98</v>
      </c>
      <c r="AL15" s="80">
        <v>4.07</v>
      </c>
      <c r="AM15" s="80">
        <v>4.08</v>
      </c>
      <c r="AN15" s="80">
        <v>4.1500000000000004</v>
      </c>
      <c r="AO15" s="80">
        <v>4.16</v>
      </c>
    </row>
    <row r="16" spans="1:41" x14ac:dyDescent="0.3">
      <c r="A16" s="35">
        <v>16</v>
      </c>
      <c r="B16" s="229">
        <v>3.6866357326507568</v>
      </c>
      <c r="C16" s="229">
        <v>3.6613273620605469</v>
      </c>
      <c r="D16" s="226">
        <v>3.3126294612884521</v>
      </c>
      <c r="E16" s="230">
        <v>3.2921810150146484</v>
      </c>
      <c r="F16" s="230">
        <v>3.2586560249328613</v>
      </c>
      <c r="G16" s="227">
        <v>3.2454361915588379</v>
      </c>
      <c r="H16" s="227">
        <v>3.2454361915588379</v>
      </c>
      <c r="I16" s="227">
        <v>3.2193160057067871</v>
      </c>
      <c r="J16" s="227">
        <v>3.1746032238006592</v>
      </c>
      <c r="K16" s="227">
        <v>3.1683166027069092</v>
      </c>
      <c r="L16" s="35" t="s">
        <v>43</v>
      </c>
      <c r="M16" s="47">
        <v>7.4745824123117952</v>
      </c>
      <c r="N16" s="14" t="s">
        <v>269</v>
      </c>
      <c r="O16" s="167">
        <v>2.3845348277671894</v>
      </c>
      <c r="P16" s="169">
        <v>2.0735962077594463</v>
      </c>
      <c r="Q16" s="173">
        <v>1.8536164493872047</v>
      </c>
      <c r="R16" s="173">
        <v>1.6509654821235069</v>
      </c>
      <c r="S16" s="263">
        <v>1.4577079233011558</v>
      </c>
      <c r="T16" s="263">
        <v>1.2223918915422634</v>
      </c>
      <c r="U16" s="262">
        <v>0.72645411202872046</v>
      </c>
      <c r="V16" s="262">
        <v>0.72266186013359479</v>
      </c>
      <c r="W16" s="262">
        <v>0.50268486314160921</v>
      </c>
      <c r="X16" s="266">
        <v>0</v>
      </c>
      <c r="Y16" s="48">
        <v>7.0097060775999989</v>
      </c>
      <c r="Z16" s="12">
        <v>110</v>
      </c>
      <c r="AA16" s="12">
        <v>111</v>
      </c>
      <c r="AB16" s="12">
        <v>112</v>
      </c>
      <c r="AC16" s="12">
        <v>113</v>
      </c>
      <c r="AD16" s="12">
        <v>114</v>
      </c>
      <c r="AE16" s="12">
        <v>115</v>
      </c>
      <c r="AF16" s="12">
        <v>116</v>
      </c>
      <c r="AG16" s="12">
        <v>117</v>
      </c>
      <c r="AH16" s="12">
        <v>118</v>
      </c>
      <c r="AI16" s="12">
        <v>119</v>
      </c>
      <c r="AJ16" s="35">
        <v>16</v>
      </c>
      <c r="AK16" s="80">
        <v>4.34</v>
      </c>
      <c r="AL16" s="80">
        <v>4.37</v>
      </c>
      <c r="AM16" s="15">
        <v>4.83</v>
      </c>
      <c r="AN16" s="15">
        <v>4.8600000000000003</v>
      </c>
      <c r="AO16" s="15">
        <v>4.91</v>
      </c>
    </row>
    <row r="17" spans="1:41" x14ac:dyDescent="0.3">
      <c r="A17" s="35">
        <v>17</v>
      </c>
      <c r="B17" s="244">
        <v>3.7117905616760254</v>
      </c>
      <c r="C17" s="229">
        <v>3.7117905616760254</v>
      </c>
      <c r="D17" s="229">
        <v>3.7117905616760254</v>
      </c>
      <c r="E17" s="231">
        <v>3.6717061996459961</v>
      </c>
      <c r="F17" s="231">
        <v>3.648068904876709</v>
      </c>
      <c r="G17" s="231">
        <v>3.5123965740203857</v>
      </c>
      <c r="H17" s="230">
        <v>3.3663365840911865</v>
      </c>
      <c r="I17" s="230">
        <v>3.3530571460723877</v>
      </c>
      <c r="J17" s="230">
        <v>3.3138401508331299</v>
      </c>
      <c r="K17" s="230">
        <v>3.2755298614501953</v>
      </c>
      <c r="L17" s="35" t="s">
        <v>43</v>
      </c>
      <c r="M17" s="47">
        <v>7.2697275854191767</v>
      </c>
      <c r="N17" s="135" t="s">
        <v>270</v>
      </c>
      <c r="O17" s="167">
        <v>2.4713773832065247</v>
      </c>
      <c r="P17" s="167">
        <v>2.3716916632825518</v>
      </c>
      <c r="Q17" s="167">
        <v>2.3113951868555294</v>
      </c>
      <c r="R17" s="169">
        <v>2.2425435671514928</v>
      </c>
      <c r="S17" s="169">
        <v>2.1857449300422442</v>
      </c>
      <c r="T17" s="169">
        <v>2.0164220436482565</v>
      </c>
      <c r="U17" s="173">
        <v>1.8082603119431404</v>
      </c>
      <c r="V17" s="173">
        <v>1.7793149337236456</v>
      </c>
      <c r="W17" s="173">
        <v>1.5190053134391448</v>
      </c>
      <c r="X17" s="263">
        <v>1.0736293744336209</v>
      </c>
      <c r="Y17" s="134">
        <v>13.3194923621</v>
      </c>
      <c r="Z17" s="12">
        <v>120</v>
      </c>
      <c r="AA17" s="12">
        <v>121</v>
      </c>
      <c r="AB17" s="12">
        <v>122</v>
      </c>
      <c r="AC17" s="12">
        <v>123</v>
      </c>
      <c r="AD17" s="12">
        <v>124</v>
      </c>
      <c r="AE17" s="12">
        <v>125</v>
      </c>
      <c r="AF17" s="12">
        <v>126</v>
      </c>
      <c r="AG17" s="12">
        <v>127</v>
      </c>
      <c r="AH17" s="12">
        <v>128</v>
      </c>
      <c r="AI17" s="12">
        <v>129</v>
      </c>
      <c r="AJ17" s="35">
        <v>17</v>
      </c>
      <c r="AK17" s="191">
        <v>4.58</v>
      </c>
      <c r="AL17" s="15">
        <v>4.58</v>
      </c>
      <c r="AM17" s="15">
        <v>4.58</v>
      </c>
      <c r="AN17" s="15">
        <v>4.63</v>
      </c>
      <c r="AO17" s="15">
        <v>4.66</v>
      </c>
    </row>
    <row r="18" spans="1:41" x14ac:dyDescent="0.3">
      <c r="A18" s="35">
        <v>18</v>
      </c>
      <c r="B18" s="241">
        <v>3.9301309585571289</v>
      </c>
      <c r="C18" s="241">
        <v>3.8461539745330811</v>
      </c>
      <c r="D18" s="244">
        <v>3.5714285373687744</v>
      </c>
      <c r="E18" s="230">
        <v>3.461538553237915</v>
      </c>
      <c r="F18" s="230">
        <v>3.4416825771331787</v>
      </c>
      <c r="G18" s="230">
        <v>3.4285714626312256</v>
      </c>
      <c r="H18" s="230">
        <v>3.4090907573699951</v>
      </c>
      <c r="I18" s="230">
        <v>3.3707864284515381</v>
      </c>
      <c r="J18" s="230">
        <v>3.3519554138183594</v>
      </c>
      <c r="K18" s="230">
        <v>3.3519554138183594</v>
      </c>
      <c r="L18" s="35" t="s">
        <v>43</v>
      </c>
      <c r="M18" s="47">
        <v>6.8772578152871144</v>
      </c>
      <c r="N18" s="135" t="s">
        <v>271</v>
      </c>
      <c r="O18" s="164">
        <v>2.5951623404699395</v>
      </c>
      <c r="P18" s="164">
        <v>2.5226295859612553</v>
      </c>
      <c r="Q18" s="167">
        <v>2.4774093944743387</v>
      </c>
      <c r="R18" s="167">
        <v>2.3832114493656067</v>
      </c>
      <c r="S18" s="167">
        <v>2.3385078918393898</v>
      </c>
      <c r="T18" s="167">
        <v>2.278448224385575</v>
      </c>
      <c r="U18" s="169">
        <v>2.0163883954818029</v>
      </c>
      <c r="V18" s="173">
        <v>1.6040322498538144</v>
      </c>
      <c r="W18" s="173">
        <v>1.547095833160673</v>
      </c>
      <c r="X18" s="173">
        <v>1.5201264497039666</v>
      </c>
      <c r="Y18" s="134">
        <v>18.793569771599998</v>
      </c>
      <c r="Z18" s="12">
        <v>130</v>
      </c>
      <c r="AA18" s="12">
        <v>131</v>
      </c>
      <c r="AB18" s="12">
        <v>132</v>
      </c>
      <c r="AC18" s="12">
        <v>133</v>
      </c>
      <c r="AD18" s="12">
        <v>134</v>
      </c>
      <c r="AJ18" s="35">
        <v>18</v>
      </c>
      <c r="AK18" s="191">
        <v>4.58</v>
      </c>
      <c r="AL18" s="191">
        <v>4.68</v>
      </c>
      <c r="AM18" s="204">
        <v>5.04</v>
      </c>
      <c r="AN18" s="81">
        <v>5.2</v>
      </c>
      <c r="AO18" s="81">
        <v>5.23</v>
      </c>
    </row>
    <row r="19" spans="1:41" x14ac:dyDescent="0.3">
      <c r="A19" s="35">
        <v>19</v>
      </c>
      <c r="B19" s="93">
        <v>4.0598292350769043</v>
      </c>
      <c r="C19" s="229">
        <v>3.6679537296295166</v>
      </c>
      <c r="D19" s="229">
        <v>3.6679537296295166</v>
      </c>
      <c r="E19" s="231">
        <v>3.653846263885498</v>
      </c>
      <c r="F19" s="230">
        <v>3.4990792274475098</v>
      </c>
      <c r="G19" s="230">
        <v>3.4798533916473389</v>
      </c>
      <c r="H19" s="230">
        <v>3.4608380794525146</v>
      </c>
      <c r="I19" s="230">
        <v>3.4234232902526855</v>
      </c>
      <c r="J19" s="230">
        <v>3.3868091106414795</v>
      </c>
      <c r="K19" s="230">
        <v>3.3628318309783936</v>
      </c>
      <c r="L19" s="35" t="s">
        <v>43</v>
      </c>
      <c r="M19" s="47">
        <v>6.2994567756358784</v>
      </c>
      <c r="N19" s="135" t="s">
        <v>253</v>
      </c>
      <c r="O19" s="164">
        <v>2.7146034387308484</v>
      </c>
      <c r="P19" s="164">
        <v>2.6278155760327402</v>
      </c>
      <c r="Q19" s="164">
        <v>2.5533593600057007</v>
      </c>
      <c r="R19" s="164">
        <v>2.5255583094769549</v>
      </c>
      <c r="S19" s="167">
        <v>2.4838200919224316</v>
      </c>
      <c r="T19" s="167">
        <v>2.4372063088602824</v>
      </c>
      <c r="U19" s="167">
        <v>2.4035365671929374</v>
      </c>
      <c r="V19" s="167">
        <v>2.3622000505212974</v>
      </c>
      <c r="W19" s="167">
        <v>2.3142121363582793</v>
      </c>
      <c r="X19" s="173">
        <v>1.849799067600115</v>
      </c>
      <c r="Y19" s="134">
        <v>20.163106555899997</v>
      </c>
      <c r="Z19" s="12">
        <v>100</v>
      </c>
      <c r="AA19" s="12">
        <v>101</v>
      </c>
      <c r="AB19" s="12">
        <v>102</v>
      </c>
      <c r="AC19" s="12">
        <v>103</v>
      </c>
      <c r="AD19" s="12">
        <v>104</v>
      </c>
      <c r="AE19" s="12">
        <v>105</v>
      </c>
      <c r="AF19" s="12">
        <v>106</v>
      </c>
      <c r="AG19" s="12">
        <v>107</v>
      </c>
      <c r="AH19" s="12">
        <v>108</v>
      </c>
      <c r="AI19" s="12">
        <v>109</v>
      </c>
      <c r="AJ19" s="35">
        <v>19</v>
      </c>
      <c r="AK19" s="15">
        <v>4.68</v>
      </c>
      <c r="AL19" s="81">
        <v>5.18</v>
      </c>
      <c r="AM19" s="81">
        <v>5.18</v>
      </c>
      <c r="AN19" s="81">
        <v>5.2</v>
      </c>
      <c r="AO19" s="81">
        <v>5.43</v>
      </c>
    </row>
    <row r="20" spans="1:41" x14ac:dyDescent="0.3">
      <c r="A20" s="35">
        <v>20</v>
      </c>
      <c r="B20" s="93">
        <v>4.1580042839050293</v>
      </c>
      <c r="C20" s="228">
        <v>3.9292728900909424</v>
      </c>
      <c r="D20" s="241">
        <v>3.7664783000946045</v>
      </c>
      <c r="E20" s="231">
        <v>3.6429874897003174</v>
      </c>
      <c r="F20" s="230">
        <v>3.4662044048309326</v>
      </c>
      <c r="G20" s="230">
        <v>3.3840949535369873</v>
      </c>
      <c r="H20" s="230">
        <v>3.361344575881958</v>
      </c>
      <c r="I20" s="230">
        <v>3.3167495727539063</v>
      </c>
      <c r="J20" s="230">
        <v>3.3112583160400391</v>
      </c>
      <c r="K20" s="227">
        <v>3.2102727890014648</v>
      </c>
      <c r="L20" s="35" t="s">
        <v>43</v>
      </c>
      <c r="M20" s="47">
        <v>5.6376876878023259</v>
      </c>
      <c r="N20" s="135" t="s">
        <v>254</v>
      </c>
      <c r="O20" s="164">
        <v>2.675290474073571</v>
      </c>
      <c r="P20" s="164">
        <v>2.5888200789285243</v>
      </c>
      <c r="Q20" s="164">
        <v>2.5103618163219723</v>
      </c>
      <c r="R20" s="167">
        <v>2.4340549723322167</v>
      </c>
      <c r="S20" s="173">
        <v>1.7985782686800096</v>
      </c>
      <c r="T20" s="173">
        <v>1.5455068803452641</v>
      </c>
      <c r="U20" s="173">
        <v>1.5232449642058126</v>
      </c>
      <c r="V20" s="263">
        <v>1.02909026371428</v>
      </c>
      <c r="W20" s="262">
        <v>0.76630375114020577</v>
      </c>
      <c r="X20" s="262">
        <v>0.75814588190471566</v>
      </c>
      <c r="Y20" s="134">
        <v>16.779560557600004</v>
      </c>
      <c r="Z20" s="12">
        <v>110</v>
      </c>
      <c r="AA20" s="12">
        <v>111</v>
      </c>
      <c r="AB20" s="12">
        <v>112</v>
      </c>
      <c r="AC20" s="12">
        <v>113</v>
      </c>
      <c r="AD20" s="12">
        <v>114</v>
      </c>
      <c r="AE20" s="12">
        <v>115</v>
      </c>
      <c r="AF20" s="12">
        <v>116</v>
      </c>
      <c r="AG20" s="12">
        <v>117</v>
      </c>
      <c r="AH20" s="12">
        <v>118</v>
      </c>
      <c r="AI20" s="86">
        <v>119</v>
      </c>
      <c r="AJ20" s="35">
        <v>20</v>
      </c>
      <c r="AK20" s="15">
        <v>4.8099999999999996</v>
      </c>
      <c r="AL20" s="81">
        <v>5.09</v>
      </c>
      <c r="AM20" s="204">
        <v>5.31</v>
      </c>
      <c r="AN20" s="81">
        <v>5.49</v>
      </c>
      <c r="AO20" s="16">
        <v>5.77</v>
      </c>
    </row>
    <row r="21" spans="1:41" x14ac:dyDescent="0.3">
      <c r="A21" s="35">
        <v>21</v>
      </c>
      <c r="B21" s="241">
        <v>3.9252336025238037</v>
      </c>
      <c r="C21" s="229">
        <v>3.6713287830352783</v>
      </c>
      <c r="D21" s="244">
        <v>3.6206896305084229</v>
      </c>
      <c r="E21" s="231">
        <v>3.5714285373687744</v>
      </c>
      <c r="F21" s="230">
        <v>3.4768211841583252</v>
      </c>
      <c r="G21" s="230">
        <v>3.4710743427276611</v>
      </c>
      <c r="H21" s="230">
        <v>3.4653465747833252</v>
      </c>
      <c r="I21" s="230">
        <v>3.4596374034881592</v>
      </c>
      <c r="J21" s="230">
        <v>3.436988353729248</v>
      </c>
      <c r="K21" s="230">
        <v>3.4201955795288086</v>
      </c>
      <c r="L21" s="35" t="s">
        <v>43</v>
      </c>
      <c r="M21" s="47">
        <v>4.9375620984113358</v>
      </c>
      <c r="N21" s="135" t="s">
        <v>255</v>
      </c>
      <c r="O21" s="164">
        <v>2.7406564702713569</v>
      </c>
      <c r="P21" s="164">
        <v>2.6381286439798948</v>
      </c>
      <c r="Q21" s="164">
        <v>2.5454717699001312</v>
      </c>
      <c r="R21" s="167">
        <v>2.293023438013019</v>
      </c>
      <c r="S21" s="173">
        <v>1.9965642265165162</v>
      </c>
      <c r="T21" s="173">
        <v>1.5325492909831575</v>
      </c>
      <c r="U21" s="263">
        <v>1.0716398594552146</v>
      </c>
      <c r="V21" s="262">
        <v>0.54370140190974792</v>
      </c>
      <c r="W21" s="266">
        <v>0.25958224991803874</v>
      </c>
      <c r="X21" s="266">
        <v>0</v>
      </c>
      <c r="Y21" s="134">
        <v>11.014232450500002</v>
      </c>
      <c r="Z21" s="12">
        <v>120</v>
      </c>
      <c r="AA21" s="12">
        <v>121</v>
      </c>
      <c r="AB21" s="86">
        <v>122</v>
      </c>
      <c r="AC21" s="85">
        <v>123</v>
      </c>
      <c r="AD21" s="12">
        <v>124</v>
      </c>
      <c r="AE21" s="87">
        <v>125</v>
      </c>
      <c r="AF21" s="86">
        <v>126</v>
      </c>
      <c r="AG21" s="86">
        <v>127</v>
      </c>
      <c r="AH21" s="85">
        <v>128</v>
      </c>
      <c r="AI21" s="12">
        <v>129</v>
      </c>
      <c r="AJ21" s="35">
        <v>21</v>
      </c>
      <c r="AK21" s="204">
        <v>5.35</v>
      </c>
      <c r="AL21" s="16">
        <v>5.72</v>
      </c>
      <c r="AM21" s="190">
        <v>5.8</v>
      </c>
      <c r="AN21" s="16">
        <v>5.88</v>
      </c>
      <c r="AO21" s="82">
        <v>6.04</v>
      </c>
    </row>
    <row r="22" spans="1:41" x14ac:dyDescent="0.3">
      <c r="A22" s="35">
        <v>22</v>
      </c>
      <c r="B22" s="241">
        <v>3.9007093906402588</v>
      </c>
      <c r="C22" s="244">
        <v>3.7288134098052979</v>
      </c>
      <c r="D22" s="226">
        <v>3.4810125827789307</v>
      </c>
      <c r="E22" s="230">
        <v>3.4536893367767334</v>
      </c>
      <c r="F22" s="230">
        <v>3.4482758045196533</v>
      </c>
      <c r="G22" s="230">
        <v>3.3794162273406982</v>
      </c>
      <c r="H22" s="230">
        <v>3.3033034801483154</v>
      </c>
      <c r="I22" s="230">
        <v>3.2884902954101563</v>
      </c>
      <c r="J22" s="230">
        <v>3.2689449787139893</v>
      </c>
      <c r="K22" s="227">
        <v>3.2258064746856689</v>
      </c>
      <c r="L22" s="35" t="s">
        <v>43</v>
      </c>
      <c r="M22" s="47">
        <v>4.2121164575204233</v>
      </c>
      <c r="N22" s="14" t="s">
        <v>256</v>
      </c>
      <c r="O22" s="164">
        <v>2.6690501990922026</v>
      </c>
      <c r="P22" s="164">
        <v>2.544180507517467</v>
      </c>
      <c r="Q22" s="173">
        <v>1.8090304452982144</v>
      </c>
      <c r="R22" s="263">
        <v>1.0105276171675435</v>
      </c>
      <c r="S22" s="262">
        <v>0.53648543050020359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48">
        <v>5.783422923999999</v>
      </c>
      <c r="Z22" s="12">
        <v>130</v>
      </c>
      <c r="AA22" s="85">
        <v>131</v>
      </c>
      <c r="AB22" s="86">
        <v>132</v>
      </c>
      <c r="AC22" s="12">
        <v>133</v>
      </c>
      <c r="AD22" s="85">
        <v>134</v>
      </c>
      <c r="AE22" s="85">
        <v>135</v>
      </c>
      <c r="AF22" s="192">
        <v>136</v>
      </c>
      <c r="AG22" s="84">
        <v>137</v>
      </c>
      <c r="AH22" s="85">
        <v>138</v>
      </c>
      <c r="AI22" s="85">
        <v>139</v>
      </c>
      <c r="AJ22" s="35">
        <v>22</v>
      </c>
      <c r="AK22" s="190">
        <v>5.64</v>
      </c>
      <c r="AL22" s="190">
        <v>5.9</v>
      </c>
      <c r="AM22" s="82">
        <v>6.32</v>
      </c>
      <c r="AN22" s="82">
        <v>6.37</v>
      </c>
      <c r="AO22" s="82">
        <v>6.38</v>
      </c>
    </row>
    <row r="23" spans="1:41" x14ac:dyDescent="0.3">
      <c r="A23" s="35">
        <v>23</v>
      </c>
      <c r="B23" s="244">
        <v>3.7037036418914795</v>
      </c>
      <c r="C23" s="229">
        <v>3.6800000667572021</v>
      </c>
      <c r="D23" s="244">
        <v>3.645007848739624</v>
      </c>
      <c r="E23" s="231">
        <v>3.6277601718902588</v>
      </c>
      <c r="F23" s="230">
        <v>3.397341251373291</v>
      </c>
      <c r="G23" s="230">
        <v>3.3527696132659912</v>
      </c>
      <c r="H23" s="230">
        <v>3.3430233001708984</v>
      </c>
      <c r="I23" s="227">
        <v>3.2440056800842285</v>
      </c>
      <c r="J23" s="227">
        <v>3.2258064746856689</v>
      </c>
      <c r="K23" s="227">
        <v>3.2212886810302734</v>
      </c>
      <c r="L23" s="35" t="s">
        <v>43</v>
      </c>
      <c r="M23" s="47">
        <v>3.5116955815993736</v>
      </c>
      <c r="N23" s="14" t="s">
        <v>257</v>
      </c>
      <c r="O23" s="263">
        <v>1.1957524945624012</v>
      </c>
      <c r="P23" s="262">
        <v>0.58208762580848084</v>
      </c>
      <c r="Q23" s="266">
        <v>0.38785368822595528</v>
      </c>
      <c r="R23" s="266">
        <v>0.38210553453317236</v>
      </c>
      <c r="S23" s="266">
        <v>0.35738809429376561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48">
        <v>2.4580025853999996</v>
      </c>
      <c r="Z23" s="84">
        <v>140</v>
      </c>
      <c r="AA23" s="85">
        <v>141</v>
      </c>
      <c r="AB23" s="85">
        <v>142</v>
      </c>
      <c r="AC23" s="84">
        <v>143</v>
      </c>
      <c r="AD23" s="84">
        <v>144</v>
      </c>
      <c r="AE23" s="84">
        <v>145</v>
      </c>
      <c r="AF23" s="188">
        <v>146</v>
      </c>
      <c r="AG23" s="84">
        <v>147</v>
      </c>
      <c r="AH23" s="193">
        <v>148</v>
      </c>
      <c r="AI23" s="84">
        <v>149</v>
      </c>
      <c r="AJ23" s="35">
        <v>23</v>
      </c>
      <c r="AK23" s="194">
        <v>6.21</v>
      </c>
      <c r="AL23" s="82">
        <v>6.25</v>
      </c>
      <c r="AM23" s="194">
        <v>6.31</v>
      </c>
      <c r="AN23" s="82">
        <v>6.34</v>
      </c>
      <c r="AO23" s="171">
        <v>6.77</v>
      </c>
    </row>
    <row r="24" spans="1:41" x14ac:dyDescent="0.3">
      <c r="A24" s="35">
        <v>24</v>
      </c>
      <c r="B24" s="245">
        <v>4.0609140396118164</v>
      </c>
      <c r="C24" s="93">
        <v>4.047217845916748</v>
      </c>
      <c r="D24" s="241">
        <v>3.8772213459014893</v>
      </c>
      <c r="E24" s="231">
        <v>3.6090226173400879</v>
      </c>
      <c r="F24" s="231">
        <v>3.5874438285827637</v>
      </c>
      <c r="G24" s="231">
        <v>3.5820896625518799</v>
      </c>
      <c r="H24" s="231">
        <v>3.5190615653991699</v>
      </c>
      <c r="I24" s="230">
        <v>3.4632034301757813</v>
      </c>
      <c r="J24" s="230">
        <v>3.4582133293151855</v>
      </c>
      <c r="K24" s="230">
        <v>3.4482758045196533</v>
      </c>
      <c r="L24" s="35" t="s">
        <v>43</v>
      </c>
      <c r="M24" s="47">
        <v>2.9261797878814222</v>
      </c>
      <c r="N24" s="14" t="s">
        <v>258</v>
      </c>
      <c r="O24" s="263">
        <v>1.2072474004495328</v>
      </c>
      <c r="P24" s="266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48">
        <v>1.1696266019999997</v>
      </c>
      <c r="Z24" s="188">
        <v>150</v>
      </c>
      <c r="AA24" s="84">
        <v>151</v>
      </c>
      <c r="AB24" s="171">
        <v>152</v>
      </c>
      <c r="AC24" s="84">
        <v>153</v>
      </c>
      <c r="AD24" s="84">
        <v>154</v>
      </c>
      <c r="AE24" s="84">
        <v>155</v>
      </c>
      <c r="AF24" s="84">
        <v>156</v>
      </c>
      <c r="AG24" s="171">
        <v>157</v>
      </c>
      <c r="AH24" s="193">
        <v>158</v>
      </c>
      <c r="AI24" s="193">
        <v>159</v>
      </c>
      <c r="AJ24" s="35">
        <v>24</v>
      </c>
      <c r="AK24" s="190">
        <v>5.91</v>
      </c>
      <c r="AL24" s="16">
        <v>5.93</v>
      </c>
      <c r="AM24" s="194">
        <v>6.19</v>
      </c>
      <c r="AN24" s="171">
        <v>6.65</v>
      </c>
      <c r="AO24" s="171">
        <v>6.69</v>
      </c>
    </row>
    <row r="25" spans="1:41" x14ac:dyDescent="0.3">
      <c r="A25" s="35">
        <v>25</v>
      </c>
      <c r="B25" s="93">
        <v>4.0453076362609863</v>
      </c>
      <c r="C25" s="228">
        <v>3.9001560211181641</v>
      </c>
      <c r="D25" s="229">
        <v>3.7425150871276855</v>
      </c>
      <c r="E25" s="231">
        <v>3.7257823944091797</v>
      </c>
      <c r="F25" s="231">
        <v>3.6179451942443848</v>
      </c>
      <c r="G25" s="231">
        <v>3.5971224308013916</v>
      </c>
      <c r="H25" s="231">
        <v>3.5971224308013916</v>
      </c>
      <c r="I25" s="230">
        <v>3.4965033531188965</v>
      </c>
      <c r="J25" s="230">
        <v>3.4482758045196533</v>
      </c>
      <c r="K25" s="230">
        <v>3.3829500675201416</v>
      </c>
      <c r="L25" s="35" t="s">
        <v>43</v>
      </c>
      <c r="M25" s="47">
        <v>2.3342564560308778</v>
      </c>
      <c r="N25" s="2" t="s">
        <v>275</v>
      </c>
      <c r="O25" s="161">
        <v>3.7327680533899432</v>
      </c>
      <c r="P25" s="161">
        <v>3.594784646226084</v>
      </c>
      <c r="Q25" s="154">
        <v>3.4451919165618587</v>
      </c>
      <c r="R25" s="154">
        <v>3.3355440846742521</v>
      </c>
      <c r="S25" s="154">
        <v>3.266706757557992</v>
      </c>
      <c r="T25" s="165">
        <v>3.2075065507825684</v>
      </c>
      <c r="U25" s="165">
        <v>3.1661367988387998</v>
      </c>
      <c r="V25" s="165">
        <v>3.1344183006002395</v>
      </c>
      <c r="W25" s="165">
        <v>3.0845885698848003</v>
      </c>
      <c r="X25" s="165">
        <v>3.0570975743991475</v>
      </c>
      <c r="Y25" s="45">
        <f>SUM(O25:X25)</f>
        <v>33.024743252915684</v>
      </c>
      <c r="Z25" s="171">
        <v>160</v>
      </c>
      <c r="AA25" s="171">
        <v>161</v>
      </c>
      <c r="AB25" s="193">
        <v>162</v>
      </c>
      <c r="AC25" s="193">
        <v>163</v>
      </c>
      <c r="AD25" s="84">
        <v>164</v>
      </c>
      <c r="AE25" s="193">
        <v>165</v>
      </c>
      <c r="AF25" s="193">
        <v>166</v>
      </c>
      <c r="AG25" s="171">
        <v>167</v>
      </c>
      <c r="AH25" s="171">
        <v>168</v>
      </c>
      <c r="AI25" s="193">
        <v>169</v>
      </c>
      <c r="AJ25" s="35">
        <v>25</v>
      </c>
      <c r="AK25" s="82">
        <v>6.18</v>
      </c>
      <c r="AL25" s="82">
        <v>6.41</v>
      </c>
      <c r="AM25" s="171">
        <v>6.68</v>
      </c>
      <c r="AN25" s="171">
        <v>6.71</v>
      </c>
      <c r="AO25" s="171">
        <v>6.91</v>
      </c>
    </row>
    <row r="26" spans="1:41" x14ac:dyDescent="0.3">
      <c r="A26" s="35">
        <v>26</v>
      </c>
      <c r="B26" s="229">
        <v>3.7037036418914795</v>
      </c>
      <c r="C26" s="226">
        <v>3.4437084197998047</v>
      </c>
      <c r="D26" s="226">
        <v>3.43461012840271</v>
      </c>
      <c r="E26" s="230">
        <v>3.3678758144378662</v>
      </c>
      <c r="F26" s="230">
        <v>3.3548386096954346</v>
      </c>
      <c r="G26" s="230">
        <v>3.2540676593780518</v>
      </c>
      <c r="H26" s="227">
        <v>3.1901841163635254</v>
      </c>
      <c r="I26" s="227">
        <v>3.170731782913208</v>
      </c>
      <c r="J26" s="227">
        <v>3.1668696403503418</v>
      </c>
      <c r="K26" s="227">
        <v>3.1325299739837646</v>
      </c>
      <c r="L26" s="35" t="s">
        <v>43</v>
      </c>
      <c r="M26" s="47">
        <v>1.8608294076440686</v>
      </c>
      <c r="N26" s="2" t="s">
        <v>276</v>
      </c>
      <c r="O26" s="160">
        <v>2.9544932043190344</v>
      </c>
      <c r="P26" s="164">
        <v>2.7341621484222038</v>
      </c>
      <c r="Q26" s="164">
        <v>2.6015173090588455</v>
      </c>
      <c r="R26" s="164">
        <v>2.5497206585842354</v>
      </c>
      <c r="S26" s="167">
        <v>2.4299473402016671</v>
      </c>
      <c r="T26" s="167">
        <v>2.3711065973882444</v>
      </c>
      <c r="U26" s="169">
        <v>2.2209291150924741</v>
      </c>
      <c r="V26" s="169">
        <v>2.1056030753700967</v>
      </c>
      <c r="W26" s="173">
        <v>1.7880871722832266</v>
      </c>
      <c r="X26" s="173">
        <v>1.6998229536732072</v>
      </c>
      <c r="Y26" s="45">
        <f t="shared" ref="Y26:Y27" si="0">SUM(O26:X26)</f>
        <v>23.455389574393237</v>
      </c>
      <c r="Z26" s="193">
        <v>170</v>
      </c>
      <c r="AA26" s="194">
        <v>171</v>
      </c>
      <c r="AB26" s="194">
        <v>172</v>
      </c>
      <c r="AC26" s="193">
        <v>173</v>
      </c>
      <c r="AD26" s="193">
        <v>174</v>
      </c>
      <c r="AE26" s="193">
        <v>175</v>
      </c>
      <c r="AF26" s="193">
        <v>176</v>
      </c>
      <c r="AG26" s="193">
        <v>177</v>
      </c>
      <c r="AH26" s="82">
        <v>178</v>
      </c>
      <c r="AI26" s="193">
        <v>179</v>
      </c>
      <c r="AJ26" s="35">
        <v>26</v>
      </c>
      <c r="AK26" s="84">
        <v>7.02</v>
      </c>
      <c r="AL26" s="85">
        <v>7.55</v>
      </c>
      <c r="AM26" s="85">
        <v>7.57</v>
      </c>
      <c r="AN26" s="85">
        <v>7.72</v>
      </c>
      <c r="AO26" s="85">
        <v>7.75</v>
      </c>
    </row>
    <row r="27" spans="1:41" x14ac:dyDescent="0.3">
      <c r="A27" s="35">
        <v>27</v>
      </c>
      <c r="B27" s="232">
        <v>4.6712799072265625</v>
      </c>
      <c r="C27" s="241">
        <v>3.9244184494018555</v>
      </c>
      <c r="D27" s="228">
        <v>3.9130434989929199</v>
      </c>
      <c r="E27" s="231">
        <v>3.6885244846343994</v>
      </c>
      <c r="F27" s="231">
        <v>3.5761587619781494</v>
      </c>
      <c r="G27" s="231">
        <v>3.5526316165924072</v>
      </c>
      <c r="H27" s="230">
        <v>3.4793813228607178</v>
      </c>
      <c r="I27" s="230">
        <v>3.2926828861236572</v>
      </c>
      <c r="J27" s="230">
        <v>3.2926828861236572</v>
      </c>
      <c r="K27" s="230">
        <v>3.2648124694824219</v>
      </c>
      <c r="L27" s="35" t="s">
        <v>43</v>
      </c>
      <c r="M27" s="47">
        <v>1.4631453294842838</v>
      </c>
      <c r="N27" s="2" t="s">
        <v>277</v>
      </c>
      <c r="O27" s="164">
        <v>2.5358265249767897</v>
      </c>
      <c r="P27" s="167">
        <v>2.3874478148370004</v>
      </c>
      <c r="Q27" s="169">
        <v>2.2426717967527194</v>
      </c>
      <c r="R27" s="169">
        <v>2.1090196173504761</v>
      </c>
      <c r="S27" s="173">
        <v>1.903748140585904</v>
      </c>
      <c r="T27" s="173">
        <v>1.7020093248440411</v>
      </c>
      <c r="U27" s="173">
        <v>1.5289791076645716</v>
      </c>
      <c r="V27" s="263">
        <v>1.2979613825459522</v>
      </c>
      <c r="W27" s="263">
        <v>1.1521055163122316</v>
      </c>
      <c r="X27" s="262">
        <v>0.92887851190601733</v>
      </c>
      <c r="Y27" s="45">
        <f t="shared" si="0"/>
        <v>17.788647737775705</v>
      </c>
      <c r="Z27" s="171">
        <v>180</v>
      </c>
      <c r="AA27" s="194">
        <v>181</v>
      </c>
      <c r="AB27" s="193">
        <v>182</v>
      </c>
      <c r="AC27" s="194">
        <v>183</v>
      </c>
      <c r="AD27" s="171">
        <v>184</v>
      </c>
      <c r="AE27" s="171">
        <v>185</v>
      </c>
      <c r="AF27" s="171">
        <v>186</v>
      </c>
      <c r="AG27" s="193">
        <v>187</v>
      </c>
      <c r="AH27" s="194">
        <v>188</v>
      </c>
      <c r="AI27" s="171">
        <v>189</v>
      </c>
      <c r="AJ27" s="35">
        <v>27</v>
      </c>
      <c r="AK27" s="16">
        <v>5.78</v>
      </c>
      <c r="AL27" s="193">
        <v>6.88</v>
      </c>
      <c r="AM27" s="171">
        <v>6.9</v>
      </c>
      <c r="AN27" s="84">
        <v>7.32</v>
      </c>
      <c r="AO27" s="85">
        <v>7.55</v>
      </c>
    </row>
    <row r="28" spans="1:41" x14ac:dyDescent="0.3">
      <c r="A28" s="35">
        <v>28</v>
      </c>
      <c r="B28" s="241">
        <v>3.8781163692474365</v>
      </c>
      <c r="C28" s="228">
        <v>3.8043477535247803</v>
      </c>
      <c r="D28" s="229">
        <v>3.7483267784118652</v>
      </c>
      <c r="E28" s="231">
        <v>3.6553525924682617</v>
      </c>
      <c r="F28" s="231">
        <v>3.539823055267334</v>
      </c>
      <c r="G28" s="230">
        <v>3.3694343566894531</v>
      </c>
      <c r="H28" s="230">
        <v>3.3532931804656982</v>
      </c>
      <c r="I28" s="230">
        <v>3.3373062610626221</v>
      </c>
      <c r="J28" s="230">
        <v>3.3333334922790527</v>
      </c>
      <c r="K28" s="227">
        <v>3.2369942665100098</v>
      </c>
      <c r="L28" s="35" t="s">
        <v>43</v>
      </c>
      <c r="M28" s="47">
        <v>1.1243864838208333</v>
      </c>
      <c r="N28" s="40"/>
      <c r="O28" s="40">
        <f>SUM(O25:O27)</f>
        <v>9.2230877826857665</v>
      </c>
      <c r="P28" s="40">
        <f>SUM(P25:P27)</f>
        <v>8.7163946094852882</v>
      </c>
      <c r="Q28" s="40">
        <f>SUM(Q25:Q27)</f>
        <v>8.2893810223734228</v>
      </c>
      <c r="R28" s="40"/>
      <c r="S28" s="40">
        <f>SUM(S25:S27)</f>
        <v>7.6004022383455627</v>
      </c>
      <c r="T28" s="40"/>
      <c r="U28" s="40"/>
      <c r="V28" s="40"/>
      <c r="W28" s="40"/>
      <c r="X28" s="40">
        <f>SUM(X25:X27)</f>
        <v>5.685799039978372</v>
      </c>
      <c r="Y28" s="40"/>
      <c r="Z28" s="171">
        <v>190</v>
      </c>
      <c r="AA28" s="171">
        <v>191</v>
      </c>
      <c r="AB28" s="194">
        <v>192</v>
      </c>
      <c r="AC28" s="193">
        <v>193</v>
      </c>
      <c r="AD28" s="194">
        <v>194</v>
      </c>
      <c r="AE28" s="193">
        <v>195</v>
      </c>
      <c r="AF28" s="194">
        <v>196</v>
      </c>
      <c r="AG28" s="171">
        <v>197</v>
      </c>
      <c r="AH28" s="193">
        <v>198</v>
      </c>
      <c r="AI28" s="82">
        <v>199</v>
      </c>
      <c r="AJ28" s="35">
        <v>28</v>
      </c>
      <c r="AK28" s="188">
        <v>7.22</v>
      </c>
      <c r="AL28" s="84">
        <v>7.36</v>
      </c>
      <c r="AM28" s="84">
        <v>7.47</v>
      </c>
      <c r="AN28" s="85">
        <v>7.66</v>
      </c>
      <c r="AO28" s="85">
        <v>7.91</v>
      </c>
    </row>
    <row r="29" spans="1:41" x14ac:dyDescent="0.3">
      <c r="A29" s="35">
        <v>29</v>
      </c>
      <c r="B29" s="228">
        <v>3.8821954727172852</v>
      </c>
      <c r="C29" s="243">
        <v>3.419811487197876</v>
      </c>
      <c r="D29" s="243">
        <v>3.4117646217346191</v>
      </c>
      <c r="E29" s="230">
        <v>3.3371694087982178</v>
      </c>
      <c r="F29" s="230">
        <v>3.2842581272125244</v>
      </c>
      <c r="G29" s="227">
        <v>3.2293987274169922</v>
      </c>
      <c r="H29" s="227">
        <v>3.2222223281860352</v>
      </c>
      <c r="I29" s="227">
        <v>3.2044198513031006</v>
      </c>
      <c r="J29" s="224">
        <v>2.9743590354919434</v>
      </c>
      <c r="K29" s="224">
        <v>2.8971028327941895</v>
      </c>
      <c r="L29" s="16" t="s">
        <v>15</v>
      </c>
      <c r="M29" s="47">
        <v>0.86406780207965128</v>
      </c>
      <c r="N29" s="48" t="s">
        <v>737</v>
      </c>
      <c r="O29" s="102" t="s">
        <v>738</v>
      </c>
      <c r="P29" s="133" t="s">
        <v>739</v>
      </c>
      <c r="Q29" s="48" t="s">
        <v>740</v>
      </c>
      <c r="R29" s="317" t="s">
        <v>741</v>
      </c>
      <c r="S29" s="319"/>
      <c r="T29" s="54" t="s">
        <v>742</v>
      </c>
      <c r="U29" s="102" t="s">
        <v>743</v>
      </c>
      <c r="V29" s="133" t="s">
        <v>744</v>
      </c>
      <c r="W29" s="54" t="s">
        <v>745</v>
      </c>
      <c r="X29" s="317" t="s">
        <v>746</v>
      </c>
      <c r="Y29" s="319"/>
      <c r="Z29" s="171">
        <v>200</v>
      </c>
      <c r="AA29" s="171">
        <v>201</v>
      </c>
      <c r="AB29" s="171">
        <v>202</v>
      </c>
      <c r="AC29" s="84">
        <v>203</v>
      </c>
      <c r="AD29" s="194">
        <v>204</v>
      </c>
      <c r="AE29" s="171">
        <v>205</v>
      </c>
      <c r="AF29" s="171">
        <v>206</v>
      </c>
      <c r="AG29" s="82">
        <v>207</v>
      </c>
      <c r="AH29" s="171">
        <v>208</v>
      </c>
      <c r="AI29" s="171">
        <v>209</v>
      </c>
      <c r="AJ29" s="35">
        <v>29</v>
      </c>
      <c r="AK29" s="84">
        <v>7.47</v>
      </c>
      <c r="AL29" s="200">
        <v>8.48</v>
      </c>
      <c r="AM29" s="200">
        <v>8.5</v>
      </c>
      <c r="AN29" s="86">
        <v>8.69</v>
      </c>
      <c r="AO29" s="86">
        <v>8.83</v>
      </c>
    </row>
    <row r="30" spans="1:41" x14ac:dyDescent="0.3">
      <c r="A30" s="35">
        <v>30</v>
      </c>
      <c r="B30" s="244">
        <v>3.6014406681060791</v>
      </c>
      <c r="C30" s="229">
        <v>3.5545024871826172</v>
      </c>
      <c r="D30" s="226">
        <v>3.3519554138183594</v>
      </c>
      <c r="E30" s="230">
        <v>3.2537961006164551</v>
      </c>
      <c r="F30" s="224">
        <v>2.9761905670166016</v>
      </c>
      <c r="G30" s="282"/>
      <c r="L30" s="16" t="s">
        <v>15</v>
      </c>
      <c r="M30" s="47">
        <v>0.62810182985533602</v>
      </c>
      <c r="N30" s="45">
        <v>3.17</v>
      </c>
      <c r="O30" s="101">
        <v>4.6712799072265625</v>
      </c>
      <c r="P30" s="129">
        <v>60.546728803324008</v>
      </c>
      <c r="Q30" s="45">
        <v>47.478925568574326</v>
      </c>
      <c r="R30" s="329" t="s">
        <v>818</v>
      </c>
      <c r="S30" s="330"/>
      <c r="T30" s="56">
        <v>3.17</v>
      </c>
      <c r="U30" s="101">
        <v>4.6712799072265625</v>
      </c>
      <c r="V30" s="129">
        <v>60.546728803324008</v>
      </c>
      <c r="W30" s="56">
        <v>55.297767468152827</v>
      </c>
      <c r="X30" s="329" t="s">
        <v>819</v>
      </c>
      <c r="Y30" s="330"/>
      <c r="Z30" s="171">
        <v>210</v>
      </c>
      <c r="AA30" s="171">
        <v>211</v>
      </c>
      <c r="AB30" s="12">
        <v>212</v>
      </c>
      <c r="AC30" s="12">
        <v>213</v>
      </c>
      <c r="AD30" s="84">
        <v>214</v>
      </c>
      <c r="AE30" s="12">
        <v>215</v>
      </c>
      <c r="AF30" s="12">
        <v>216</v>
      </c>
      <c r="AG30" s="193">
        <v>217</v>
      </c>
      <c r="AH30" s="12">
        <v>218</v>
      </c>
      <c r="AI30" s="86">
        <v>219</v>
      </c>
      <c r="AJ30" s="35">
        <v>30</v>
      </c>
      <c r="AK30" s="200">
        <v>8.33</v>
      </c>
      <c r="AL30" s="86">
        <v>8.44</v>
      </c>
      <c r="AM30" s="86">
        <v>8.9499999999999993</v>
      </c>
      <c r="AN30" s="87">
        <v>9.2200000000000006</v>
      </c>
      <c r="AO30" s="88">
        <v>10.08</v>
      </c>
    </row>
    <row r="31" spans="1:41" x14ac:dyDescent="0.3">
      <c r="A31" s="35">
        <v>31</v>
      </c>
      <c r="B31" s="228">
        <v>3.8036811351776123</v>
      </c>
      <c r="C31" s="229">
        <v>3.6904764175415039</v>
      </c>
      <c r="D31" s="222">
        <v>3.1124498844146729</v>
      </c>
      <c r="E31" s="224"/>
      <c r="F31" s="282"/>
      <c r="L31" s="16" t="s">
        <v>15</v>
      </c>
      <c r="M31" s="47">
        <v>0.46960284091419674</v>
      </c>
      <c r="N31" s="45">
        <v>14.89</v>
      </c>
      <c r="O31" s="101">
        <v>3.6075036525726318</v>
      </c>
      <c r="P31" s="129">
        <v>68.999077544358911</v>
      </c>
      <c r="Q31" s="45">
        <v>58.18594443668708</v>
      </c>
      <c r="R31" s="329" t="s">
        <v>747</v>
      </c>
      <c r="S31" s="330"/>
      <c r="T31" s="56">
        <v>14.89</v>
      </c>
      <c r="U31" s="101">
        <v>3.6075036525726318</v>
      </c>
      <c r="V31" s="129">
        <v>68.999077544358911</v>
      </c>
      <c r="W31" s="56">
        <v>66.285116326821338</v>
      </c>
      <c r="X31" s="329" t="s">
        <v>748</v>
      </c>
      <c r="Y31" s="330"/>
      <c r="Z31" s="194">
        <v>220</v>
      </c>
      <c r="AA31" s="82">
        <v>221</v>
      </c>
      <c r="AB31" s="12">
        <v>222</v>
      </c>
      <c r="AC31" s="171">
        <v>223</v>
      </c>
      <c r="AD31" s="194">
        <v>224</v>
      </c>
      <c r="AE31" s="86">
        <v>225</v>
      </c>
      <c r="AF31" s="12">
        <v>226</v>
      </c>
      <c r="AG31" s="12">
        <v>227</v>
      </c>
      <c r="AH31" s="12">
        <v>228</v>
      </c>
      <c r="AI31" s="12">
        <v>229</v>
      </c>
      <c r="AJ31" s="35">
        <v>31</v>
      </c>
      <c r="AK31" s="86">
        <v>8.15</v>
      </c>
      <c r="AL31" s="86">
        <v>8.4</v>
      </c>
      <c r="AM31" s="87">
        <v>9.9600000000000009</v>
      </c>
      <c r="AN31" s="168"/>
    </row>
    <row r="32" spans="1:41" x14ac:dyDescent="0.3">
      <c r="A32" s="35">
        <v>32</v>
      </c>
      <c r="B32" s="226">
        <v>3.3684210777282715</v>
      </c>
      <c r="C32" s="222">
        <v>3.1683166027069092</v>
      </c>
      <c r="D32" s="223">
        <v>2.9878618717193604</v>
      </c>
      <c r="L32" s="16" t="s">
        <v>15</v>
      </c>
      <c r="M32" s="47">
        <v>0.36482161857545031</v>
      </c>
      <c r="N32" s="45">
        <v>54.74</v>
      </c>
      <c r="O32" s="101">
        <v>2.9808268547058105</v>
      </c>
      <c r="P32" s="129">
        <v>72.117350673645717</v>
      </c>
      <c r="Q32" s="45">
        <v>62.89667015120235</v>
      </c>
      <c r="R32" s="329" t="s">
        <v>749</v>
      </c>
      <c r="S32" s="330"/>
      <c r="T32" s="56">
        <v>54.74</v>
      </c>
      <c r="U32" s="101">
        <v>2.9808268547058105</v>
      </c>
      <c r="V32" s="129">
        <v>72.117350673645717</v>
      </c>
      <c r="W32" s="56">
        <v>71.784908232392823</v>
      </c>
      <c r="X32" s="329" t="s">
        <v>750</v>
      </c>
      <c r="Y32" s="330"/>
      <c r="Z32" s="171">
        <v>230</v>
      </c>
      <c r="AA32" s="12">
        <v>231</v>
      </c>
      <c r="AB32" s="12">
        <v>232</v>
      </c>
      <c r="AC32" s="82">
        <v>233</v>
      </c>
      <c r="AD32" s="12">
        <v>234</v>
      </c>
      <c r="AE32" s="12">
        <v>235</v>
      </c>
      <c r="AF32" s="12">
        <v>236</v>
      </c>
      <c r="AG32" s="12">
        <v>237</v>
      </c>
      <c r="AH32" s="12">
        <v>238</v>
      </c>
      <c r="AI32" s="12">
        <v>239</v>
      </c>
      <c r="AJ32" s="35">
        <v>32</v>
      </c>
      <c r="AK32" s="87">
        <v>9.5</v>
      </c>
      <c r="AL32" s="88">
        <v>10.1</v>
      </c>
      <c r="AM32" s="88">
        <v>10.71</v>
      </c>
    </row>
    <row r="33" spans="1:40" x14ac:dyDescent="0.3">
      <c r="A33" s="35">
        <v>33</v>
      </c>
      <c r="B33" s="228">
        <v>3.7800688743591309</v>
      </c>
      <c r="C33" s="243">
        <v>3.444676399230957</v>
      </c>
      <c r="D33" s="226"/>
      <c r="E33" s="282"/>
      <c r="L33" s="16" t="s">
        <v>15</v>
      </c>
      <c r="M33" s="47">
        <v>0.24082309234877897</v>
      </c>
      <c r="N33" s="48" t="s">
        <v>751</v>
      </c>
      <c r="O33" s="102" t="s">
        <v>235</v>
      </c>
      <c r="P33" s="133" t="s">
        <v>752</v>
      </c>
      <c r="Q33" s="48" t="s">
        <v>740</v>
      </c>
      <c r="R33" s="317" t="s">
        <v>753</v>
      </c>
      <c r="S33" s="319"/>
      <c r="T33" s="54" t="s">
        <v>754</v>
      </c>
      <c r="U33" s="102" t="s">
        <v>755</v>
      </c>
      <c r="V33" s="133" t="s">
        <v>756</v>
      </c>
      <c r="W33" s="54" t="s">
        <v>745</v>
      </c>
      <c r="X33" s="317" t="s">
        <v>757</v>
      </c>
      <c r="Y33" s="319"/>
      <c r="Z33" s="12">
        <v>240</v>
      </c>
      <c r="AA33" s="12">
        <v>241</v>
      </c>
      <c r="AB33" s="12">
        <v>242</v>
      </c>
      <c r="AC33" s="12">
        <v>243</v>
      </c>
      <c r="AD33" s="12">
        <v>244</v>
      </c>
      <c r="AE33" s="12">
        <v>245</v>
      </c>
      <c r="AF33" s="12">
        <v>246</v>
      </c>
      <c r="AG33" s="12">
        <v>247</v>
      </c>
      <c r="AH33" s="12">
        <v>248</v>
      </c>
      <c r="AI33" s="12">
        <v>249</v>
      </c>
      <c r="AJ33" s="35">
        <v>33</v>
      </c>
      <c r="AK33" s="86">
        <v>8.73</v>
      </c>
      <c r="AL33" s="209">
        <v>9.58</v>
      </c>
      <c r="AM33" s="87"/>
    </row>
    <row r="34" spans="1:40" x14ac:dyDescent="0.3">
      <c r="A34" s="35">
        <v>34</v>
      </c>
      <c r="B34" s="244">
        <v>3.651986837387085</v>
      </c>
      <c r="C34" s="244">
        <v>3.5639412403106689</v>
      </c>
      <c r="D34" s="226">
        <v>3.4412956237792969</v>
      </c>
      <c r="E34" s="230">
        <v>3.3041787147521973</v>
      </c>
      <c r="L34" s="16" t="s">
        <v>15</v>
      </c>
      <c r="M34" s="47">
        <v>0.17209408034064183</v>
      </c>
      <c r="N34" s="45">
        <v>3.282</v>
      </c>
      <c r="O34" s="101">
        <v>4.1994490623474121</v>
      </c>
      <c r="P34" s="129">
        <v>56.375958843425281</v>
      </c>
      <c r="Q34" s="45">
        <v>44.162609135206949</v>
      </c>
      <c r="R34" s="329" t="s">
        <v>820</v>
      </c>
      <c r="S34" s="330"/>
      <c r="T34" s="56">
        <v>3.282</v>
      </c>
      <c r="U34" s="101">
        <v>4.1994490623474121</v>
      </c>
      <c r="V34" s="129">
        <v>56.375958843425281</v>
      </c>
      <c r="W34" s="56">
        <v>51.321174824643641</v>
      </c>
      <c r="X34" s="329" t="s">
        <v>821</v>
      </c>
      <c r="Y34" s="330"/>
      <c r="Z34" s="12">
        <v>250</v>
      </c>
      <c r="AA34" s="12">
        <v>251</v>
      </c>
      <c r="AB34" s="12">
        <v>252</v>
      </c>
      <c r="AC34" s="12">
        <v>253</v>
      </c>
      <c r="AD34" s="12">
        <v>254</v>
      </c>
      <c r="AE34" s="12">
        <v>255</v>
      </c>
      <c r="AF34" s="12">
        <v>256</v>
      </c>
      <c r="AG34" s="12">
        <v>257</v>
      </c>
      <c r="AH34" s="12">
        <v>258</v>
      </c>
      <c r="AI34" s="12">
        <v>259</v>
      </c>
      <c r="AJ34" s="35">
        <v>34</v>
      </c>
      <c r="AK34" s="209">
        <v>9.31</v>
      </c>
      <c r="AL34" s="209">
        <v>9.5399999999999991</v>
      </c>
      <c r="AM34" s="87">
        <v>9.8800000000000008</v>
      </c>
      <c r="AN34" s="88">
        <v>10.29</v>
      </c>
    </row>
    <row r="35" spans="1:40" x14ac:dyDescent="0.3">
      <c r="A35" s="35">
        <v>35</v>
      </c>
      <c r="B35" s="226">
        <v>3.4653463363647461</v>
      </c>
      <c r="L35" s="16" t="s">
        <v>15</v>
      </c>
      <c r="M35" s="47">
        <v>0.13690471166925761</v>
      </c>
      <c r="N35" s="45">
        <v>16.044</v>
      </c>
      <c r="O35" s="101">
        <v>3.4253120422363281</v>
      </c>
      <c r="P35" s="129">
        <v>67.621235948592997</v>
      </c>
      <c r="Q35" s="45">
        <v>55.438979936136292</v>
      </c>
      <c r="R35" s="329" t="s">
        <v>831</v>
      </c>
      <c r="S35" s="330"/>
      <c r="T35" s="56">
        <v>16.044</v>
      </c>
      <c r="U35" s="101">
        <v>3.4253120422363281</v>
      </c>
      <c r="V35" s="129">
        <v>67.621235948592997</v>
      </c>
      <c r="W35" s="56">
        <v>63.148834337162825</v>
      </c>
      <c r="X35" s="329" t="s">
        <v>832</v>
      </c>
      <c r="Y35" s="330"/>
      <c r="Z35" s="12">
        <v>260</v>
      </c>
      <c r="AA35" s="12">
        <v>261</v>
      </c>
      <c r="AB35" s="12">
        <v>262</v>
      </c>
      <c r="AC35" s="12">
        <v>263</v>
      </c>
      <c r="AD35" s="12">
        <v>264</v>
      </c>
      <c r="AE35" s="12">
        <v>265</v>
      </c>
      <c r="AF35" s="12">
        <v>266</v>
      </c>
      <c r="AG35" s="12">
        <v>267</v>
      </c>
      <c r="AH35" s="12">
        <v>268</v>
      </c>
      <c r="AI35" s="12">
        <v>269</v>
      </c>
      <c r="AJ35" s="35">
        <v>35</v>
      </c>
      <c r="AK35" s="88">
        <v>10.1</v>
      </c>
    </row>
    <row r="36" spans="1:40" x14ac:dyDescent="0.3">
      <c r="A36" s="35">
        <v>36</v>
      </c>
      <c r="L36" s="15" t="s">
        <v>18</v>
      </c>
      <c r="M36" s="47">
        <v>8.6622829098455464E-2</v>
      </c>
      <c r="N36" s="45">
        <v>57.704000000000008</v>
      </c>
      <c r="O36" s="101">
        <v>2.9186310768127441</v>
      </c>
      <c r="P36" s="129">
        <v>69.798651802585113</v>
      </c>
      <c r="Q36" s="45">
        <v>61.012126817400784</v>
      </c>
      <c r="R36" s="329" t="s">
        <v>758</v>
      </c>
      <c r="S36" s="330"/>
      <c r="T36" s="56">
        <v>57.704000000000008</v>
      </c>
      <c r="U36" s="101">
        <v>2.9186310768127441</v>
      </c>
      <c r="V36" s="129">
        <v>69.798651802585113</v>
      </c>
      <c r="W36" s="56">
        <v>69.63946257097335</v>
      </c>
      <c r="X36" s="329" t="s">
        <v>759</v>
      </c>
      <c r="Y36" s="330"/>
      <c r="Z36" s="12">
        <v>270</v>
      </c>
      <c r="AA36" s="12">
        <v>271</v>
      </c>
      <c r="AB36" s="12">
        <v>272</v>
      </c>
      <c r="AC36" s="12">
        <v>273</v>
      </c>
      <c r="AD36" s="12">
        <v>274</v>
      </c>
      <c r="AE36" s="12">
        <v>275</v>
      </c>
      <c r="AF36" s="12">
        <v>276</v>
      </c>
      <c r="AG36" s="12">
        <v>277</v>
      </c>
      <c r="AH36" s="12">
        <v>278</v>
      </c>
      <c r="AJ36" s="35">
        <v>36</v>
      </c>
    </row>
    <row r="37" spans="1:40" x14ac:dyDescent="0.3">
      <c r="A37" s="35">
        <v>37</v>
      </c>
      <c r="B37" s="222">
        <v>3.0654516220092773</v>
      </c>
      <c r="L37" s="15" t="s">
        <v>18</v>
      </c>
      <c r="M37" s="47">
        <v>5.4467147937818282E-2</v>
      </c>
      <c r="N37" s="48" t="s">
        <v>760</v>
      </c>
      <c r="O37" s="102" t="s">
        <v>761</v>
      </c>
      <c r="P37" s="133" t="s">
        <v>762</v>
      </c>
      <c r="Q37" s="48" t="s">
        <v>740</v>
      </c>
      <c r="R37" s="317" t="s">
        <v>763</v>
      </c>
      <c r="S37" s="319"/>
      <c r="T37" s="54" t="s">
        <v>764</v>
      </c>
      <c r="U37" s="102" t="s">
        <v>765</v>
      </c>
      <c r="V37" s="133" t="s">
        <v>766</v>
      </c>
      <c r="W37" s="54" t="s">
        <v>745</v>
      </c>
      <c r="X37" s="317" t="s">
        <v>767</v>
      </c>
      <c r="Y37" s="319"/>
      <c r="Z37" s="35" t="s">
        <v>346</v>
      </c>
      <c r="AA37" s="35" t="s">
        <v>347</v>
      </c>
      <c r="AB37" s="35" t="s">
        <v>348</v>
      </c>
      <c r="AC37" s="35" t="s">
        <v>349</v>
      </c>
      <c r="AD37" s="35" t="s">
        <v>350</v>
      </c>
      <c r="AE37" s="35" t="s">
        <v>351</v>
      </c>
      <c r="AF37" s="336" t="str">
        <f>"ASB="&amp;ROUND(O138,2)</f>
        <v>ASB=516.18</v>
      </c>
      <c r="AG37" s="336"/>
      <c r="AH37" s="336"/>
      <c r="AI37" s="336"/>
      <c r="AJ37" s="35">
        <v>37</v>
      </c>
      <c r="AK37" s="12">
        <v>12.07</v>
      </c>
    </row>
    <row r="38" spans="1:40" x14ac:dyDescent="0.3">
      <c r="A38" s="35">
        <v>38</v>
      </c>
      <c r="L38" s="15" t="s">
        <v>18</v>
      </c>
      <c r="M38" s="47">
        <v>4.5337516658256069E-2</v>
      </c>
      <c r="N38" s="45">
        <v>3.5332000000000003</v>
      </c>
      <c r="O38" s="101">
        <v>3.9368839263916016</v>
      </c>
      <c r="P38" s="129">
        <v>50.436248576526999</v>
      </c>
      <c r="Q38" s="45">
        <v>41.272901416634291</v>
      </c>
      <c r="R38" s="329" t="s">
        <v>833</v>
      </c>
      <c r="S38" s="330"/>
      <c r="T38" s="56"/>
      <c r="U38" s="101"/>
      <c r="V38" s="129"/>
      <c r="W38" s="56"/>
      <c r="X38" s="334"/>
      <c r="Y38" s="335"/>
      <c r="Z38" s="105">
        <f>Set!AI27/Q34*96</f>
        <v>2.9759111287477635</v>
      </c>
      <c r="AA38" s="105">
        <f>Set!AI27/Q38*92</f>
        <v>3.0515906485129962</v>
      </c>
      <c r="AB38" s="139">
        <f>11/O25</f>
        <v>2.9468747703223248</v>
      </c>
      <c r="AC38" s="2">
        <f>N30</f>
        <v>3.17</v>
      </c>
      <c r="AD38" s="135">
        <f>Set!AI16/W34*96</f>
        <v>2.7628362071694754</v>
      </c>
      <c r="AE38" s="2">
        <f>T30</f>
        <v>3.17</v>
      </c>
      <c r="AF38" s="337" t="str">
        <f ca="1">"扫雷活跃"&amp;Set!AC$35&amp;"天="&amp;ROUND(Set!AC$35/365,2)&amp;"年"</f>
        <v>扫雷活跃105天=0.29年</v>
      </c>
      <c r="AG38" s="337"/>
      <c r="AH38" s="337"/>
      <c r="AI38" s="337"/>
      <c r="AJ38" s="35">
        <v>38</v>
      </c>
    </row>
    <row r="39" spans="1:40" x14ac:dyDescent="0.3">
      <c r="A39" s="35">
        <v>39</v>
      </c>
      <c r="L39" s="15" t="s">
        <v>18</v>
      </c>
      <c r="M39" s="47">
        <v>2.9918731212677085E-2</v>
      </c>
      <c r="N39" s="45">
        <v>17.784400000000002</v>
      </c>
      <c r="O39" s="101">
        <v>3.2421503067016602</v>
      </c>
      <c r="P39" s="129">
        <v>61.709644900187776</v>
      </c>
      <c r="Q39" s="45">
        <v>51.650170266581</v>
      </c>
      <c r="R39" s="329" t="s">
        <v>834</v>
      </c>
      <c r="S39" s="330"/>
      <c r="T39" s="56"/>
      <c r="U39" s="101"/>
      <c r="V39" s="129"/>
      <c r="W39" s="56"/>
      <c r="X39" s="334"/>
      <c r="Y39" s="335"/>
      <c r="Z39" s="105">
        <f>Set!AI30/Q35*96</f>
        <v>14.63403549153653</v>
      </c>
      <c r="AA39" s="105">
        <f>Set!AI30/Q39*92</f>
        <v>15.053038469905248</v>
      </c>
      <c r="AB39" s="139">
        <f>45/O26</f>
        <v>15.231038586995773</v>
      </c>
      <c r="AC39" s="2">
        <f>N31</f>
        <v>14.89</v>
      </c>
      <c r="AD39" s="135">
        <f>Set!AI19/W35*96</f>
        <v>14.475516604461674</v>
      </c>
      <c r="AE39" s="2">
        <f>T31</f>
        <v>14.89</v>
      </c>
      <c r="AF39" s="337" t="s">
        <v>769</v>
      </c>
      <c r="AG39" s="337"/>
      <c r="AH39" s="337"/>
      <c r="AI39" s="337"/>
      <c r="AJ39" s="35">
        <v>39</v>
      </c>
    </row>
    <row r="40" spans="1:40" x14ac:dyDescent="0.3">
      <c r="A40" s="35">
        <v>40</v>
      </c>
      <c r="L40" s="15" t="s">
        <v>18</v>
      </c>
      <c r="M40" s="47">
        <v>1.8081316906932772E-2</v>
      </c>
      <c r="N40" s="45">
        <v>60.384399999999985</v>
      </c>
      <c r="O40" s="101">
        <v>2.8013355731964111</v>
      </c>
      <c r="P40" s="129">
        <v>65.24530218094381</v>
      </c>
      <c r="Q40" s="45">
        <v>58.5087853382866</v>
      </c>
      <c r="R40" s="329" t="s">
        <v>768</v>
      </c>
      <c r="S40" s="330"/>
      <c r="T40" s="56"/>
      <c r="U40" s="101"/>
      <c r="V40" s="129"/>
      <c r="W40" s="56"/>
      <c r="X40" s="334"/>
      <c r="Y40" s="335"/>
      <c r="Z40" s="105">
        <f>Set!AI33/Q36*96</f>
        <v>54.189882773551396</v>
      </c>
      <c r="AA40" s="105">
        <f>Set!AI33/Q40*92</f>
        <v>54.153918624022957</v>
      </c>
      <c r="AB40" s="139">
        <f>143/O27</f>
        <v>56.391870102908115</v>
      </c>
      <c r="AC40" s="2">
        <f>N32</f>
        <v>54.74</v>
      </c>
      <c r="AD40" s="135">
        <f>Set!AI22/W36*96</f>
        <v>53.762620528328846</v>
      </c>
      <c r="AE40" s="2">
        <f>T32</f>
        <v>54.74</v>
      </c>
      <c r="AF40" s="338" t="s">
        <v>386</v>
      </c>
      <c r="AG40" s="338"/>
      <c r="AH40" s="338"/>
      <c r="AI40" s="338"/>
      <c r="AJ40" s="35">
        <v>40</v>
      </c>
    </row>
    <row r="41" spans="1:40" x14ac:dyDescent="0.3">
      <c r="A41" s="35">
        <v>41</v>
      </c>
      <c r="L41" s="15" t="s">
        <v>18</v>
      </c>
      <c r="M41" s="47">
        <v>1.126286256003985E-2</v>
      </c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339" t="s">
        <v>390</v>
      </c>
      <c r="AA41" s="339"/>
      <c r="AB41" s="339"/>
      <c r="AC41" s="339"/>
      <c r="AD41" s="339"/>
      <c r="AE41" s="339"/>
      <c r="AF41" s="337" t="str">
        <f>"典型时="&amp;ROUND(O81*86400,2)</f>
        <v>典型时=1362.65</v>
      </c>
      <c r="AG41" s="337"/>
      <c r="AH41" s="337"/>
      <c r="AI41" s="337"/>
      <c r="AJ41" s="35">
        <v>41</v>
      </c>
    </row>
    <row r="42" spans="1:40" x14ac:dyDescent="0.3">
      <c r="A42" s="35">
        <v>42</v>
      </c>
      <c r="L42" s="14" t="s">
        <v>17</v>
      </c>
      <c r="M42" s="47">
        <v>6.5369154619369001E-3</v>
      </c>
      <c r="N42" s="35"/>
      <c r="O42" s="35" t="s">
        <v>366</v>
      </c>
      <c r="P42" s="35" t="s">
        <v>367</v>
      </c>
      <c r="Q42" s="35" t="s">
        <v>368</v>
      </c>
      <c r="R42" s="35" t="s">
        <v>369</v>
      </c>
      <c r="S42" s="153" t="s">
        <v>387</v>
      </c>
      <c r="T42" s="35"/>
      <c r="U42" s="35" t="s">
        <v>366</v>
      </c>
      <c r="V42" s="35" t="s">
        <v>367</v>
      </c>
      <c r="W42" s="35" t="s">
        <v>368</v>
      </c>
      <c r="X42" s="35" t="s">
        <v>107</v>
      </c>
      <c r="Y42" s="153" t="s">
        <v>387</v>
      </c>
      <c r="Z42" s="333" t="s">
        <v>823</v>
      </c>
      <c r="AA42" s="333"/>
      <c r="AB42" s="333"/>
      <c r="AC42" s="333"/>
      <c r="AD42" s="333"/>
      <c r="AE42" s="333"/>
      <c r="AF42" s="340" t="str">
        <f>"简版典型时="&amp;ROUND(O76,2)</f>
        <v>简版典型时=450.78</v>
      </c>
      <c r="AG42" s="337"/>
      <c r="AH42" s="337"/>
      <c r="AI42" s="337"/>
      <c r="AJ42" s="35">
        <v>42</v>
      </c>
    </row>
    <row r="43" spans="1:40" x14ac:dyDescent="0.3">
      <c r="A43" s="35">
        <v>43</v>
      </c>
      <c r="L43" s="14" t="s">
        <v>17</v>
      </c>
      <c r="M43" s="47">
        <v>8.0216637738625019E-3</v>
      </c>
      <c r="N43" s="35">
        <v>1</v>
      </c>
      <c r="O43" s="45">
        <f>O30*P30/N30/Set!AK27</f>
        <v>1.2820841248577712</v>
      </c>
      <c r="P43" s="45">
        <f>O31*P31/N31/Set!AK28</f>
        <v>2.9154847082813431</v>
      </c>
      <c r="Q43" s="45">
        <f>O32*P32/N32</f>
        <v>3.9270978366503351</v>
      </c>
      <c r="R43" s="45">
        <f>(O43*P43*Q43)^(1/3)</f>
        <v>2.4484975316665927</v>
      </c>
      <c r="S43" s="62">
        <f>INT(O43*P43*Q43)</f>
        <v>14</v>
      </c>
      <c r="T43" s="35" t="s">
        <v>370</v>
      </c>
      <c r="U43" s="45">
        <f>U30*V30/T30/Set!AK27</f>
        <v>1.2820841248577712</v>
      </c>
      <c r="V43" s="45">
        <f>U31*V31/T31/Set!AK28</f>
        <v>2.9154847082813431</v>
      </c>
      <c r="W43" s="45">
        <f>U32*V32/T32</f>
        <v>3.9270978366503351</v>
      </c>
      <c r="X43" s="45">
        <f>(U43*V43*W43)^(1/3)</f>
        <v>2.4484975316665927</v>
      </c>
      <c r="Y43" s="62">
        <f>INT(U43*V43*W43)</f>
        <v>14</v>
      </c>
      <c r="Z43" s="333" t="s">
        <v>837</v>
      </c>
      <c r="AA43" s="333"/>
      <c r="AB43" s="333"/>
      <c r="AC43" s="333"/>
      <c r="AD43" s="333"/>
      <c r="AE43" s="333"/>
      <c r="AF43" s="337" t="str">
        <f>"染色BV="&amp;COUNTIF(O2:X24,"&gt;0")&amp;"/230"</f>
        <v>染色BV=168/230</v>
      </c>
      <c r="AG43" s="337"/>
      <c r="AH43" s="337"/>
      <c r="AI43" s="337"/>
      <c r="AJ43" s="35">
        <v>43</v>
      </c>
    </row>
    <row r="44" spans="1:40" x14ac:dyDescent="0.3">
      <c r="A44" s="35">
        <v>44</v>
      </c>
      <c r="L44" s="14" t="s">
        <v>17</v>
      </c>
      <c r="M44" s="47">
        <v>3.1262134402786873E-3</v>
      </c>
      <c r="N44" s="35">
        <v>5</v>
      </c>
      <c r="O44" s="45">
        <f>O34*P34/N34/Set!AK27</f>
        <v>1.0365658381929053</v>
      </c>
      <c r="P44" s="45">
        <f>O35*P35/N35/Set!AK28</f>
        <v>2.5178276232905756</v>
      </c>
      <c r="Q44" s="45">
        <f>O36*P36/N36</f>
        <v>3.5303707588842497</v>
      </c>
      <c r="R44" s="45">
        <f t="shared" ref="R44:R45" si="1">(O44*P44*Q44)^(1/3)</f>
        <v>2.0964333879013499</v>
      </c>
      <c r="S44" s="62">
        <f>INT(O44*P44*Q44)</f>
        <v>9</v>
      </c>
      <c r="T44" s="35" t="s">
        <v>371</v>
      </c>
      <c r="U44" s="45">
        <f>U34*V34/T34/Set!AK27</f>
        <v>1.0365658381929053</v>
      </c>
      <c r="V44" s="45">
        <f>U35*V35/T35/Set!AK28</f>
        <v>2.5178276232905756</v>
      </c>
      <c r="W44" s="45">
        <f>U36*V36/T36</f>
        <v>3.5303707588842497</v>
      </c>
      <c r="X44" s="45">
        <f t="shared" ref="X44" si="2">(U44*V44*W44)^(1/3)</f>
        <v>2.0964333879013499</v>
      </c>
      <c r="Y44" s="62">
        <f>INT(U44*V44*W44)</f>
        <v>9</v>
      </c>
      <c r="Z44" s="333" t="s">
        <v>817</v>
      </c>
      <c r="AA44" s="333"/>
      <c r="AB44" s="333"/>
      <c r="AC44" s="333"/>
      <c r="AD44" s="333"/>
      <c r="AE44" s="333"/>
      <c r="AF44" s="337" t="str">
        <f>"染色典型时="&amp;COUNTIF(O48:X51,"&lt;9")+COUNTIF(O52:X59,"&lt;30")+COUNTIF(O60:X70,"&lt;90")&amp;"/230"</f>
        <v>染色典型时=99/230</v>
      </c>
      <c r="AG44" s="337"/>
      <c r="AH44" s="337"/>
      <c r="AI44" s="337"/>
      <c r="AJ44" s="35">
        <v>44</v>
      </c>
    </row>
    <row r="45" spans="1:40" x14ac:dyDescent="0.3">
      <c r="A45" s="35">
        <v>45</v>
      </c>
      <c r="L45" s="17" t="s">
        <v>45</v>
      </c>
      <c r="M45" s="47">
        <v>6.3900406496011019E-4</v>
      </c>
      <c r="N45" s="35">
        <v>25</v>
      </c>
      <c r="O45" s="45">
        <f>O38*P38/N38/Set!AK27</f>
        <v>0.80756292878452007</v>
      </c>
      <c r="P45" s="45">
        <f>O39*P39/N39/Set!AK28</f>
        <v>1.9620152379838685</v>
      </c>
      <c r="Q45" s="45">
        <f>O40*P40/N40</f>
        <v>3.0268411375028537</v>
      </c>
      <c r="R45" s="45">
        <f t="shared" si="1"/>
        <v>1.6863826525811867</v>
      </c>
      <c r="S45" s="62">
        <f>INT(O45*P45*Q45)</f>
        <v>4</v>
      </c>
      <c r="T45" s="54"/>
      <c r="U45" s="56"/>
      <c r="V45" s="56"/>
      <c r="W45" s="56"/>
      <c r="X45" s="56"/>
      <c r="Y45" s="56"/>
      <c r="Z45" s="333" t="s">
        <v>838</v>
      </c>
      <c r="AA45" s="333"/>
      <c r="AB45" s="333"/>
      <c r="AC45" s="333"/>
      <c r="AD45" s="333"/>
      <c r="AE45" s="333"/>
      <c r="AF45" s="337" t="str">
        <f>"BV收集数="&amp;SUM(AA106,AD106,AG106)</f>
        <v>BV收集数=188</v>
      </c>
      <c r="AG45" s="337"/>
      <c r="AH45" s="337"/>
      <c r="AI45" s="337"/>
      <c r="AJ45" s="35">
        <v>45</v>
      </c>
    </row>
    <row r="46" spans="1:40" x14ac:dyDescent="0.3">
      <c r="A46" s="35">
        <v>46</v>
      </c>
      <c r="L46" s="14" t="s">
        <v>17</v>
      </c>
      <c r="M46" s="47">
        <v>2.4332724465359907E-3</v>
      </c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331" t="s">
        <v>323</v>
      </c>
      <c r="AA46" s="331"/>
      <c r="AB46" s="35" t="s">
        <v>50</v>
      </c>
      <c r="AC46" s="35" t="s">
        <v>94</v>
      </c>
      <c r="AD46" s="35" t="s">
        <v>326</v>
      </c>
      <c r="AE46" s="54" t="s">
        <v>95</v>
      </c>
      <c r="AF46" s="26" t="s">
        <v>99</v>
      </c>
      <c r="AG46" s="35" t="s">
        <v>324</v>
      </c>
      <c r="AH46" s="35" t="s">
        <v>325</v>
      </c>
      <c r="AI46" s="35" t="s">
        <v>295</v>
      </c>
      <c r="AJ46" s="35">
        <v>46</v>
      </c>
    </row>
    <row r="47" spans="1:40" x14ac:dyDescent="0.3">
      <c r="A47" s="35">
        <v>47</v>
      </c>
      <c r="L47" s="14" t="s">
        <v>17</v>
      </c>
      <c r="M47" s="47">
        <v>1.1737362293126707E-3</v>
      </c>
      <c r="N47" s="35" t="s">
        <v>354</v>
      </c>
      <c r="O47" s="48" t="s">
        <v>286</v>
      </c>
      <c r="P47" s="48" t="s">
        <v>287</v>
      </c>
      <c r="Q47" s="48" t="s">
        <v>288</v>
      </c>
      <c r="R47" s="48" t="s">
        <v>289</v>
      </c>
      <c r="S47" s="48" t="s">
        <v>290</v>
      </c>
      <c r="T47" s="48" t="s">
        <v>291</v>
      </c>
      <c r="U47" s="48" t="s">
        <v>20</v>
      </c>
      <c r="V47" s="48" t="s">
        <v>21</v>
      </c>
      <c r="W47" s="48" t="s">
        <v>22</v>
      </c>
      <c r="X47" s="48" t="s">
        <v>23</v>
      </c>
      <c r="Y47" s="49" t="s">
        <v>109</v>
      </c>
      <c r="Z47" s="332">
        <v>45810</v>
      </c>
      <c r="AA47" s="332"/>
      <c r="AB47" s="2">
        <v>11</v>
      </c>
      <c r="AC47" s="79">
        <v>3.17</v>
      </c>
      <c r="AD47" s="38">
        <v>-0.10999999999999988</v>
      </c>
      <c r="AE47" s="230">
        <v>3.4700314998626709</v>
      </c>
      <c r="AF47" s="256">
        <v>55.705028533935547</v>
      </c>
      <c r="AG47" s="2">
        <v>0.12</v>
      </c>
      <c r="AH47" s="2">
        <v>5.39</v>
      </c>
      <c r="AI47" s="2">
        <v>48</v>
      </c>
      <c r="AJ47" s="35">
        <v>47</v>
      </c>
    </row>
    <row r="48" spans="1:40" x14ac:dyDescent="0.3">
      <c r="A48" s="35">
        <v>48</v>
      </c>
      <c r="L48" s="18" t="s">
        <v>44</v>
      </c>
      <c r="M48" s="47">
        <v>1.7196439668651285E-5</v>
      </c>
      <c r="N48" s="35" t="s">
        <v>274</v>
      </c>
      <c r="O48" s="181">
        <v>2.7024679518361756</v>
      </c>
      <c r="P48" s="181">
        <v>2.9498754232595905</v>
      </c>
      <c r="Q48" s="182">
        <v>3.0865140715755448</v>
      </c>
      <c r="R48" s="182">
        <v>3.2089157970582858</v>
      </c>
      <c r="S48" s="182">
        <v>3.3352116128503608</v>
      </c>
      <c r="T48" s="182">
        <v>3.3782943667690706</v>
      </c>
      <c r="U48" s="182">
        <v>3.4306829757238408</v>
      </c>
      <c r="V48" s="309">
        <v>3.5246355896834332</v>
      </c>
      <c r="W48" s="309">
        <v>3.8754790423644159</v>
      </c>
      <c r="X48" s="309">
        <v>3.9735982078934122</v>
      </c>
      <c r="Y48" s="104">
        <v>7.8861038972439408</v>
      </c>
      <c r="Z48" s="332">
        <v>45810</v>
      </c>
      <c r="AA48" s="332"/>
      <c r="AB48" s="2">
        <v>12</v>
      </c>
      <c r="AC48" s="79">
        <v>3.54</v>
      </c>
      <c r="AD48" s="38">
        <v>-2.0000000000000018E-2</v>
      </c>
      <c r="AE48" s="230">
        <v>3.3898305892944336</v>
      </c>
      <c r="AF48" s="256">
        <v>50.3707275390625</v>
      </c>
      <c r="AG48" s="79">
        <v>0.02</v>
      </c>
      <c r="AH48" s="79">
        <v>1.07</v>
      </c>
      <c r="AI48" s="2">
        <v>48</v>
      </c>
      <c r="AJ48" s="35">
        <v>48</v>
      </c>
    </row>
    <row r="49" spans="1:37" x14ac:dyDescent="0.3">
      <c r="A49" s="35">
        <v>49</v>
      </c>
      <c r="L49" s="17" t="s">
        <v>45</v>
      </c>
      <c r="M49" s="47">
        <v>7.9770142956810586E-4</v>
      </c>
      <c r="N49" s="135" t="s">
        <v>265</v>
      </c>
      <c r="O49" s="180">
        <v>4.01550351585316</v>
      </c>
      <c r="P49" s="180">
        <v>4.1146960474468388</v>
      </c>
      <c r="Q49" s="180">
        <v>4.2964527284063214</v>
      </c>
      <c r="R49" s="180">
        <v>4.4009688726111333</v>
      </c>
      <c r="S49" s="180">
        <v>4.4553682677020641</v>
      </c>
      <c r="T49" s="310">
        <v>4.506957852698096</v>
      </c>
      <c r="U49" s="310">
        <v>4.5724522736915292</v>
      </c>
      <c r="V49" s="310">
        <v>4.6031711756464109</v>
      </c>
      <c r="W49" s="310">
        <v>4.6747927138365819</v>
      </c>
      <c r="X49" s="310">
        <v>4.7013364261040183</v>
      </c>
      <c r="Y49" s="136">
        <v>14.912618314507874</v>
      </c>
      <c r="Z49" s="332">
        <v>45810</v>
      </c>
      <c r="AA49" s="332"/>
      <c r="AB49" s="2">
        <v>17</v>
      </c>
      <c r="AC49" s="79">
        <v>4.58</v>
      </c>
      <c r="AD49" s="38">
        <v>0</v>
      </c>
      <c r="AE49" s="231">
        <v>3.7117905616760254</v>
      </c>
      <c r="AF49" s="258">
        <v>46.055355072021484</v>
      </c>
      <c r="AG49" s="2">
        <v>0</v>
      </c>
      <c r="AH49" s="79">
        <v>0</v>
      </c>
      <c r="AI49" s="2">
        <v>54</v>
      </c>
      <c r="AJ49" s="35">
        <v>49</v>
      </c>
    </row>
    <row r="50" spans="1:37" x14ac:dyDescent="0.3">
      <c r="A50" s="35">
        <v>50</v>
      </c>
      <c r="M50" s="47">
        <v>0</v>
      </c>
      <c r="N50" s="135" t="s">
        <v>266</v>
      </c>
      <c r="O50" s="308">
        <v>5.7629294323738627</v>
      </c>
      <c r="P50" s="176">
        <v>6.0683012480893179</v>
      </c>
      <c r="Q50" s="176">
        <v>6.2575310052182811</v>
      </c>
      <c r="R50" s="176">
        <v>6.4125329202765275</v>
      </c>
      <c r="S50" s="177">
        <v>6.6025401244447712</v>
      </c>
      <c r="T50" s="177">
        <v>6.7001771436774931</v>
      </c>
      <c r="U50" s="177">
        <v>6.7648743671753833</v>
      </c>
      <c r="V50" s="177">
        <v>6.8651124798655072</v>
      </c>
      <c r="W50" s="177">
        <v>6.9099563805110531</v>
      </c>
      <c r="X50" s="179">
        <v>7.0057048592895841</v>
      </c>
      <c r="Y50" s="136">
        <v>22.959677016306021</v>
      </c>
      <c r="Z50" s="332">
        <v>45810</v>
      </c>
      <c r="AA50" s="332"/>
      <c r="AB50" s="2">
        <v>18</v>
      </c>
      <c r="AC50" s="79">
        <v>4.58</v>
      </c>
      <c r="AD50" s="38">
        <v>-9.9999999999999645E-2</v>
      </c>
      <c r="AE50" s="257">
        <v>3.9301309585571289</v>
      </c>
      <c r="AF50" s="258">
        <v>48.764492034912109</v>
      </c>
      <c r="AG50" s="2">
        <v>0.08</v>
      </c>
      <c r="AH50" s="2">
        <v>5.78</v>
      </c>
      <c r="AI50" s="2">
        <v>5</v>
      </c>
      <c r="AJ50" s="35">
        <v>50</v>
      </c>
    </row>
    <row r="51" spans="1:37" x14ac:dyDescent="0.3">
      <c r="A51" s="35">
        <v>51</v>
      </c>
      <c r="L51" s="18" t="s">
        <v>44</v>
      </c>
      <c r="M51" s="47">
        <v>4.5663518849864561E-5</v>
      </c>
      <c r="N51" s="35" t="s">
        <v>267</v>
      </c>
      <c r="O51" s="174">
        <v>9.9066966094723607</v>
      </c>
      <c r="P51" s="196">
        <v>11.254304750093302</v>
      </c>
      <c r="Q51" s="45">
        <v>14.073989410475498</v>
      </c>
      <c r="R51" s="45">
        <v>28.280285316108372</v>
      </c>
      <c r="S51" s="45">
        <v>39.520597702855163</v>
      </c>
      <c r="T51" s="45"/>
      <c r="U51" s="45"/>
      <c r="V51" s="45"/>
      <c r="W51" s="45"/>
      <c r="X51" s="45"/>
      <c r="Y51" s="104">
        <v>32.388339337051484</v>
      </c>
      <c r="Z51" s="332">
        <v>45810</v>
      </c>
      <c r="AA51" s="332"/>
      <c r="AB51" s="2">
        <v>21</v>
      </c>
      <c r="AC51" s="79">
        <v>5.35</v>
      </c>
      <c r="AD51" s="38">
        <v>-0.37000000000000011</v>
      </c>
      <c r="AE51" s="257">
        <v>3.9252336025238037</v>
      </c>
      <c r="AF51" s="258">
        <v>43.683795928955078</v>
      </c>
      <c r="AG51" s="2">
        <v>0.25</v>
      </c>
      <c r="AH51" s="2">
        <v>12.540000000000001</v>
      </c>
      <c r="AI51" s="2">
        <v>44</v>
      </c>
      <c r="AJ51" s="35">
        <v>51</v>
      </c>
    </row>
    <row r="52" spans="1:37" x14ac:dyDescent="0.3">
      <c r="A52" s="35">
        <v>52</v>
      </c>
      <c r="M52" s="47">
        <v>0</v>
      </c>
      <c r="N52" s="16" t="s">
        <v>267</v>
      </c>
      <c r="O52" s="45">
        <v>54.121459232993786</v>
      </c>
      <c r="P52" s="45"/>
      <c r="Q52" s="45"/>
      <c r="R52" s="45"/>
      <c r="S52" s="45"/>
      <c r="T52" s="45"/>
      <c r="U52" s="45"/>
      <c r="V52" s="45"/>
      <c r="W52" s="45"/>
      <c r="X52" s="45"/>
      <c r="Y52" s="104">
        <v>36.759416804987843</v>
      </c>
      <c r="Z52" s="332">
        <v>45810</v>
      </c>
      <c r="AA52" s="332"/>
      <c r="AB52" s="2">
        <v>30</v>
      </c>
      <c r="AC52" s="79">
        <v>8.33</v>
      </c>
      <c r="AD52" s="38">
        <v>-0.10999999999999943</v>
      </c>
      <c r="AE52" s="231">
        <v>3.6014406681060791</v>
      </c>
      <c r="AF52" s="254">
        <v>29.398639678955078</v>
      </c>
      <c r="AG52" s="79">
        <v>0.05</v>
      </c>
      <c r="AH52" s="79">
        <v>0.28999999999999998</v>
      </c>
      <c r="AI52" s="2">
        <v>105</v>
      </c>
      <c r="AJ52" s="35">
        <v>52</v>
      </c>
    </row>
    <row r="53" spans="1:37" x14ac:dyDescent="0.3">
      <c r="A53" s="35">
        <v>53</v>
      </c>
      <c r="M53" s="47">
        <v>0</v>
      </c>
      <c r="N53" s="135" t="s">
        <v>259</v>
      </c>
      <c r="O53" s="176">
        <v>18.095560160698387</v>
      </c>
      <c r="P53" s="185">
        <v>21.840436155777695</v>
      </c>
      <c r="Q53" s="211">
        <v>27.748351290317508</v>
      </c>
      <c r="R53" s="196">
        <v>28.445160190010682</v>
      </c>
      <c r="S53" s="196">
        <v>28.799920619899318</v>
      </c>
      <c r="T53" s="45">
        <v>30.109771463175157</v>
      </c>
      <c r="U53" s="45">
        <v>33.363444373317087</v>
      </c>
      <c r="V53" s="45">
        <v>36.309672781483407</v>
      </c>
      <c r="W53" s="45">
        <v>59.063067416453883</v>
      </c>
      <c r="X53" s="45">
        <v>59.399878226464516</v>
      </c>
      <c r="Y53" s="136">
        <v>45.87602460166098</v>
      </c>
      <c r="Z53" s="332">
        <v>45810</v>
      </c>
      <c r="AA53" s="332"/>
      <c r="AB53" s="2">
        <v>43</v>
      </c>
      <c r="AC53" s="79">
        <v>18.2</v>
      </c>
      <c r="AD53" s="38">
        <v>-0.82000000000000028</v>
      </c>
      <c r="AE53" s="239">
        <v>2.3626372814178467</v>
      </c>
      <c r="AF53" s="256">
        <v>50.218307495117188</v>
      </c>
      <c r="AG53" s="79">
        <v>0.1</v>
      </c>
      <c r="AH53" s="79">
        <v>0.55999999999999994</v>
      </c>
      <c r="AI53" s="2">
        <v>94</v>
      </c>
      <c r="AJ53" s="35">
        <v>53</v>
      </c>
    </row>
    <row r="54" spans="1:37" x14ac:dyDescent="0.3">
      <c r="A54" s="35">
        <v>54</v>
      </c>
      <c r="L54" s="17" t="s">
        <v>45</v>
      </c>
      <c r="M54" s="47">
        <v>1.7180199173571093E-4</v>
      </c>
      <c r="N54" s="135" t="s">
        <v>272</v>
      </c>
      <c r="O54" s="176">
        <v>18.995170726488073</v>
      </c>
      <c r="P54" s="179">
        <v>20.451723104911387</v>
      </c>
      <c r="Q54" s="185">
        <v>21.335062096577921</v>
      </c>
      <c r="R54" s="185">
        <v>21.468747266156317</v>
      </c>
      <c r="S54" s="185">
        <v>21.913765692396474</v>
      </c>
      <c r="T54" s="175">
        <v>22.338672347594017</v>
      </c>
      <c r="U54" s="175">
        <v>22.661278514329961</v>
      </c>
      <c r="V54" s="174">
        <v>24.847911662189095</v>
      </c>
      <c r="W54" s="196">
        <v>30.724909050234938</v>
      </c>
      <c r="X54" s="196">
        <v>31.052928520271127</v>
      </c>
      <c r="Y54" s="136">
        <v>55.083001356444584</v>
      </c>
      <c r="Z54" s="332">
        <v>45810</v>
      </c>
      <c r="AA54" s="332"/>
      <c r="AB54" s="2">
        <v>60</v>
      </c>
      <c r="AC54" s="79">
        <v>18.440000000000001</v>
      </c>
      <c r="AD54" s="38">
        <v>-1.4800000000000004</v>
      </c>
      <c r="AE54" s="230">
        <v>3.2537961006164551</v>
      </c>
      <c r="AF54" s="253">
        <v>68.528732299804688</v>
      </c>
      <c r="AG54" s="2">
        <v>0.24</v>
      </c>
      <c r="AH54" s="79">
        <v>7.96</v>
      </c>
      <c r="AI54" s="2">
        <v>43</v>
      </c>
      <c r="AJ54" s="35">
        <v>54</v>
      </c>
    </row>
    <row r="55" spans="1:37" x14ac:dyDescent="0.3">
      <c r="A55" s="35">
        <v>30</v>
      </c>
      <c r="L55" s="15" t="s">
        <v>18</v>
      </c>
      <c r="M55" s="47">
        <v>1.04400421E-2</v>
      </c>
      <c r="N55" s="135" t="s">
        <v>260</v>
      </c>
      <c r="O55" s="179">
        <v>20.72299037901324</v>
      </c>
      <c r="P55" s="185">
        <v>21.82411685898678</v>
      </c>
      <c r="Q55" s="175">
        <v>22.400075163505129</v>
      </c>
      <c r="R55" s="175">
        <v>22.669895519548454</v>
      </c>
      <c r="S55" s="175">
        <v>22.880990311288606</v>
      </c>
      <c r="T55" s="175">
        <v>23.124316702688123</v>
      </c>
      <c r="U55" s="175">
        <v>23.426237841854348</v>
      </c>
      <c r="V55" s="175">
        <v>23.635658568389228</v>
      </c>
      <c r="W55" s="174">
        <v>24.01419176405243</v>
      </c>
      <c r="X55" s="174">
        <v>24.444156755455502</v>
      </c>
      <c r="Y55" s="136">
        <v>64.432513376523914</v>
      </c>
      <c r="Z55" s="332">
        <v>45810</v>
      </c>
      <c r="AA55" s="332"/>
      <c r="AB55" s="2">
        <v>80</v>
      </c>
      <c r="AC55" s="79">
        <v>23.28</v>
      </c>
      <c r="AD55" s="38">
        <v>-5.59</v>
      </c>
      <c r="AE55" s="230">
        <v>3.4364259243011475</v>
      </c>
      <c r="AF55" s="255">
        <v>61.480010986328125</v>
      </c>
      <c r="AG55" s="2">
        <v>0.67</v>
      </c>
      <c r="AH55" s="2">
        <v>9.17</v>
      </c>
      <c r="AI55" s="2">
        <v>105</v>
      </c>
      <c r="AJ55" s="35">
        <v>30</v>
      </c>
    </row>
    <row r="56" spans="1:37" x14ac:dyDescent="0.3">
      <c r="A56" s="35">
        <v>31</v>
      </c>
      <c r="B56" s="233">
        <v>1.486810564994812</v>
      </c>
      <c r="L56" s="15" t="s">
        <v>18</v>
      </c>
      <c r="M56" s="47">
        <v>1.5829093400000001E-2</v>
      </c>
      <c r="N56" s="135" t="s">
        <v>261</v>
      </c>
      <c r="O56" s="175">
        <v>23.537907631142282</v>
      </c>
      <c r="P56" s="174">
        <v>24.909981447569923</v>
      </c>
      <c r="Q56" s="174">
        <v>25.609870077914326</v>
      </c>
      <c r="R56" s="211">
        <v>26.155218543643606</v>
      </c>
      <c r="S56" s="211">
        <v>26.924528552404603</v>
      </c>
      <c r="T56" s="211">
        <v>27.400783679730623</v>
      </c>
      <c r="U56" s="45">
        <v>30.784500909869426</v>
      </c>
      <c r="V56" s="45">
        <v>31.702492307270649</v>
      </c>
      <c r="W56" s="45">
        <v>45.674740229490084</v>
      </c>
      <c r="X56" s="45">
        <v>55.798189128723713</v>
      </c>
      <c r="Y56" s="136">
        <v>73.916123109293409</v>
      </c>
      <c r="Z56" s="332">
        <v>45810</v>
      </c>
      <c r="AA56" s="332"/>
      <c r="AB56" s="2">
        <v>85</v>
      </c>
      <c r="AC56" s="79">
        <v>27.36</v>
      </c>
      <c r="AD56" s="38">
        <v>-1.740000000000002</v>
      </c>
      <c r="AE56" s="227">
        <v>3.1067249774932861</v>
      </c>
      <c r="AF56" s="258">
        <v>49.640548706054688</v>
      </c>
      <c r="AG56" s="79">
        <v>0.19</v>
      </c>
      <c r="AH56" s="79">
        <v>1.4400000000000002</v>
      </c>
      <c r="AI56" s="2">
        <v>105</v>
      </c>
      <c r="AJ56" s="35">
        <v>31</v>
      </c>
      <c r="AK56" s="84">
        <v>20.85</v>
      </c>
    </row>
    <row r="57" spans="1:37" x14ac:dyDescent="0.3">
      <c r="A57" s="35">
        <v>32</v>
      </c>
      <c r="L57" s="15" t="s">
        <v>18</v>
      </c>
      <c r="M57" s="47">
        <v>2.34839422E-2</v>
      </c>
      <c r="N57" s="135" t="s">
        <v>262</v>
      </c>
      <c r="O57" s="196">
        <v>29.5824818939018</v>
      </c>
      <c r="P57" s="45">
        <v>31.734263214519988</v>
      </c>
      <c r="Q57" s="45">
        <v>32.996473497133998</v>
      </c>
      <c r="R57" s="45">
        <v>36.199898719368406</v>
      </c>
      <c r="S57" s="45">
        <v>53.45186948510532</v>
      </c>
      <c r="T57" s="45">
        <v>63.383841478300603</v>
      </c>
      <c r="U57" s="45">
        <v>116.43347201463102</v>
      </c>
      <c r="V57" s="45">
        <v>225.87668001631999</v>
      </c>
      <c r="W57" s="45">
        <v>228.87884596693937</v>
      </c>
      <c r="X57" s="45">
        <v>244.03256883757629</v>
      </c>
      <c r="Y57" s="136">
        <v>83.506380187718364</v>
      </c>
      <c r="Z57" s="332">
        <v>45810</v>
      </c>
      <c r="AA57" s="332"/>
      <c r="AB57" s="2">
        <v>98</v>
      </c>
      <c r="AC57" s="79">
        <v>33.1</v>
      </c>
      <c r="AD57" s="38"/>
      <c r="AE57" s="224">
        <v>2.9607253074645996</v>
      </c>
      <c r="AF57" s="258">
        <v>41.403163909912109</v>
      </c>
      <c r="AG57" s="79"/>
      <c r="AH57" s="79"/>
      <c r="AI57" s="2"/>
      <c r="AJ57" s="35">
        <v>32</v>
      </c>
    </row>
    <row r="58" spans="1:37" x14ac:dyDescent="0.3">
      <c r="A58" s="35">
        <v>33</v>
      </c>
      <c r="L58" s="15" t="s">
        <v>18</v>
      </c>
      <c r="M58" s="47">
        <v>3.4133704299999998E-2</v>
      </c>
      <c r="N58" s="16" t="s">
        <v>263</v>
      </c>
      <c r="O58" s="45">
        <v>38.294019420051235</v>
      </c>
      <c r="P58" s="45">
        <v>61.211961837551293</v>
      </c>
      <c r="Q58" s="45">
        <v>126.94316312752025</v>
      </c>
      <c r="R58" s="45">
        <v>131.93537970763896</v>
      </c>
      <c r="S58" s="45"/>
      <c r="T58" s="45"/>
      <c r="U58" s="45"/>
      <c r="V58" s="45"/>
      <c r="W58" s="45"/>
      <c r="X58" s="45"/>
      <c r="Y58" s="104">
        <v>93.176491459446012</v>
      </c>
      <c r="Z58" s="332">
        <v>45809</v>
      </c>
      <c r="AA58" s="332"/>
      <c r="AB58" s="2">
        <v>56</v>
      </c>
      <c r="AC58" s="79">
        <v>17.850000000000001</v>
      </c>
      <c r="AD58" s="38">
        <v>-1.4499999999999993</v>
      </c>
      <c r="AE58" s="227">
        <v>3.1372549533843994</v>
      </c>
      <c r="AF58" s="253">
        <v>67.595535278320313</v>
      </c>
      <c r="AG58" s="79">
        <v>0.24</v>
      </c>
      <c r="AH58" s="79">
        <v>6.56</v>
      </c>
      <c r="AI58" s="2">
        <v>4</v>
      </c>
      <c r="AJ58" s="35">
        <v>33</v>
      </c>
    </row>
    <row r="59" spans="1:37" x14ac:dyDescent="0.3">
      <c r="A59" s="35">
        <v>34</v>
      </c>
      <c r="L59" s="15" t="s">
        <v>18</v>
      </c>
      <c r="M59" s="47">
        <v>4.8633494300000003E-2</v>
      </c>
      <c r="N59" s="16" t="s">
        <v>264</v>
      </c>
      <c r="O59" s="45">
        <v>71.265130485419931</v>
      </c>
      <c r="P59" s="45">
        <v>223.91729399311916</v>
      </c>
      <c r="Q59" s="45"/>
      <c r="R59" s="45"/>
      <c r="S59" s="45"/>
      <c r="T59" s="45"/>
      <c r="U59" s="45"/>
      <c r="V59" s="45"/>
      <c r="W59" s="45"/>
      <c r="X59" s="45"/>
      <c r="Y59" s="104">
        <v>104.02628116576885</v>
      </c>
      <c r="Z59" s="332">
        <v>45809</v>
      </c>
      <c r="AA59" s="332"/>
      <c r="AB59" s="2">
        <v>158</v>
      </c>
      <c r="AC59" s="2">
        <v>59.51</v>
      </c>
      <c r="AD59" s="38">
        <v>-6.970000000000006</v>
      </c>
      <c r="AE59" s="225">
        <v>2.6550159454345703</v>
      </c>
      <c r="AF59" s="253">
        <v>66.121612548828125</v>
      </c>
      <c r="AG59" s="79">
        <v>0.28000000000000003</v>
      </c>
      <c r="AH59" s="79">
        <v>4.3499999999999996</v>
      </c>
      <c r="AI59" s="2">
        <v>34</v>
      </c>
      <c r="AJ59" s="35">
        <v>34</v>
      </c>
    </row>
    <row r="60" spans="1:37" x14ac:dyDescent="0.3">
      <c r="A60" s="35">
        <v>35</v>
      </c>
      <c r="B60" s="234">
        <v>2.1302495002746582</v>
      </c>
      <c r="L60" s="15" t="s">
        <v>18</v>
      </c>
      <c r="M60" s="47">
        <v>6.8002880299999999E-2</v>
      </c>
      <c r="N60" s="14" t="s">
        <v>273</v>
      </c>
      <c r="O60" s="45">
        <v>158.23968719519232</v>
      </c>
      <c r="P60" s="45">
        <v>471.20885607353921</v>
      </c>
      <c r="Q60" s="45"/>
      <c r="R60" s="45"/>
      <c r="S60" s="45"/>
      <c r="T60" s="45"/>
      <c r="U60" s="45"/>
      <c r="V60" s="45"/>
      <c r="W60" s="45"/>
      <c r="X60" s="45"/>
      <c r="Y60" s="104">
        <v>123.96889701744365</v>
      </c>
      <c r="Z60" s="332">
        <v>45809</v>
      </c>
      <c r="AA60" s="332"/>
      <c r="AB60" s="2">
        <v>166</v>
      </c>
      <c r="AC60" s="79">
        <v>61.71</v>
      </c>
      <c r="AD60" s="38">
        <v>-1.9099999999999966</v>
      </c>
      <c r="AE60" s="225">
        <v>2.6900017261505127</v>
      </c>
      <c r="AF60" s="253">
        <v>65.311988830566406</v>
      </c>
      <c r="AG60" s="2">
        <v>0.08</v>
      </c>
      <c r="AH60" s="79">
        <v>1.58</v>
      </c>
      <c r="AI60" s="2">
        <v>2</v>
      </c>
      <c r="AJ60" s="35">
        <v>35</v>
      </c>
      <c r="AK60" s="81">
        <v>16.43</v>
      </c>
    </row>
    <row r="61" spans="1:37" x14ac:dyDescent="0.3">
      <c r="A61" s="35">
        <v>36</v>
      </c>
      <c r="L61" s="15" t="s">
        <v>18</v>
      </c>
      <c r="M61" s="47">
        <v>9.3367210699999995E-2</v>
      </c>
      <c r="N61" s="14" t="s">
        <v>268</v>
      </c>
      <c r="O61" s="175">
        <v>73.35084527747091</v>
      </c>
      <c r="P61" s="45">
        <v>107.27150061935578</v>
      </c>
      <c r="Q61" s="45">
        <v>414.87863979270139</v>
      </c>
      <c r="R61" s="45">
        <v>416.61635237342176</v>
      </c>
      <c r="S61" s="45">
        <v>418.35412247639351</v>
      </c>
      <c r="T61" s="45"/>
      <c r="U61" s="45"/>
      <c r="V61" s="45"/>
      <c r="W61" s="45"/>
      <c r="X61" s="45"/>
      <c r="Y61" s="104">
        <v>135.4374540109481</v>
      </c>
      <c r="Z61" s="332">
        <v>45809</v>
      </c>
      <c r="AA61" s="332"/>
      <c r="AB61" s="2">
        <v>174</v>
      </c>
      <c r="AC61" s="2">
        <v>64.89</v>
      </c>
      <c r="AD61" s="38">
        <v>-0.78000000000000114</v>
      </c>
      <c r="AE61" s="225">
        <v>2.6814608573913574</v>
      </c>
      <c r="AF61" s="253">
        <v>62.854488372802734</v>
      </c>
      <c r="AG61" s="79">
        <v>0.03</v>
      </c>
      <c r="AH61" s="79">
        <v>0.65</v>
      </c>
      <c r="AI61" s="2">
        <v>37</v>
      </c>
      <c r="AJ61" s="35">
        <v>36</v>
      </c>
    </row>
    <row r="62" spans="1:37" x14ac:dyDescent="0.3">
      <c r="A62" s="35">
        <v>37</v>
      </c>
      <c r="L62" s="16" t="s">
        <v>15</v>
      </c>
      <c r="M62" s="47">
        <v>0.12596808939999998</v>
      </c>
      <c r="N62" s="14" t="s">
        <v>269</v>
      </c>
      <c r="O62" s="176">
        <v>60.876916281964895</v>
      </c>
      <c r="P62" s="175">
        <v>70.005494096781661</v>
      </c>
      <c r="Q62" s="174">
        <v>78.313465080331426</v>
      </c>
      <c r="R62" s="196">
        <v>87.926203577982065</v>
      </c>
      <c r="S62" s="45">
        <v>99.583136485032824</v>
      </c>
      <c r="T62" s="45">
        <v>118.75334586706383</v>
      </c>
      <c r="U62" s="45">
        <v>199.82422107299425</v>
      </c>
      <c r="V62" s="45">
        <v>200.87282184032406</v>
      </c>
      <c r="W62" s="45">
        <v>288.77560818957755</v>
      </c>
      <c r="X62" s="45"/>
      <c r="Y62" s="104">
        <v>145.16312708141277</v>
      </c>
      <c r="Z62" s="332">
        <v>45808</v>
      </c>
      <c r="AA62" s="332"/>
      <c r="AB62" s="2">
        <v>23</v>
      </c>
      <c r="AC62" s="79">
        <v>6.21</v>
      </c>
      <c r="AD62" s="38">
        <v>-4.0000000000000036E-2</v>
      </c>
      <c r="AE62" s="231">
        <v>3.7037036418914795</v>
      </c>
      <c r="AF62" s="254">
        <v>37.134246826171875</v>
      </c>
      <c r="AG62" s="2">
        <v>0.02</v>
      </c>
      <c r="AH62" s="79">
        <v>0.83</v>
      </c>
      <c r="AI62" s="2">
        <v>46</v>
      </c>
      <c r="AJ62" s="35">
        <v>37</v>
      </c>
    </row>
    <row r="63" spans="1:37" x14ac:dyDescent="0.3">
      <c r="A63" s="35">
        <v>38</v>
      </c>
      <c r="B63" s="235">
        <v>2.2646005153656006</v>
      </c>
      <c r="L63" s="16" t="s">
        <v>15</v>
      </c>
      <c r="M63" s="47">
        <v>0.16713850799999999</v>
      </c>
      <c r="N63" s="135" t="s">
        <v>270</v>
      </c>
      <c r="O63" s="177">
        <v>62.680618121520538</v>
      </c>
      <c r="P63" s="179">
        <v>65.315177511958041</v>
      </c>
      <c r="Q63" s="179">
        <v>67.019029403479152</v>
      </c>
      <c r="R63" s="185">
        <v>69.076678937255309</v>
      </c>
      <c r="S63" s="175">
        <v>70.871701387378707</v>
      </c>
      <c r="T63" s="174">
        <v>76.822936189817241</v>
      </c>
      <c r="U63" s="196">
        <v>85.666571880056765</v>
      </c>
      <c r="V63" s="196">
        <v>87.060170774124671</v>
      </c>
      <c r="W63" s="196">
        <v>101.97953925533578</v>
      </c>
      <c r="X63" s="45">
        <v>144.28392672531925</v>
      </c>
      <c r="Y63" s="136">
        <v>154.9074619909309</v>
      </c>
      <c r="Z63" s="332">
        <v>45808</v>
      </c>
      <c r="AA63" s="332"/>
      <c r="AB63" s="2">
        <v>146</v>
      </c>
      <c r="AC63" s="2">
        <v>61.59</v>
      </c>
      <c r="AD63" s="38">
        <v>-5.5999999999999943</v>
      </c>
      <c r="AE63" s="239">
        <v>2.3705146312713623</v>
      </c>
      <c r="AF63" s="255">
        <v>57.633468627929688</v>
      </c>
      <c r="AG63" s="79">
        <v>0.2</v>
      </c>
      <c r="AH63" s="79">
        <v>1.5399999999999998</v>
      </c>
      <c r="AI63" s="2">
        <v>116</v>
      </c>
      <c r="AJ63" s="35">
        <v>38</v>
      </c>
      <c r="AK63" s="81">
        <v>16.78</v>
      </c>
    </row>
    <row r="64" spans="1:37" x14ac:dyDescent="0.3">
      <c r="A64" s="35">
        <v>39</v>
      </c>
      <c r="B64" s="233"/>
      <c r="L64" s="16" t="s">
        <v>15</v>
      </c>
      <c r="M64" s="47">
        <v>0.21821226069999999</v>
      </c>
      <c r="N64" s="135" t="s">
        <v>271</v>
      </c>
      <c r="O64" s="177">
        <v>63.452681130359473</v>
      </c>
      <c r="P64" s="179">
        <v>65.277125657990126</v>
      </c>
      <c r="Q64" s="179">
        <v>66.468630028867892</v>
      </c>
      <c r="R64" s="185">
        <v>69.095844816955037</v>
      </c>
      <c r="S64" s="175">
        <v>70.416699916215677</v>
      </c>
      <c r="T64" s="175">
        <v>72.272877087546163</v>
      </c>
      <c r="U64" s="211">
        <v>81.665818371271484</v>
      </c>
      <c r="V64" s="174">
        <v>102.66003597269561</v>
      </c>
      <c r="W64" s="196">
        <v>106.43814361191852</v>
      </c>
      <c r="X64" s="45">
        <v>108.32652014141634</v>
      </c>
      <c r="Y64" s="136">
        <v>164.67000847135645</v>
      </c>
      <c r="Z64" s="332">
        <v>45808</v>
      </c>
      <c r="AA64" s="332"/>
      <c r="AB64" s="2">
        <v>150</v>
      </c>
      <c r="AC64" s="79">
        <v>64.05</v>
      </c>
      <c r="AD64" s="38">
        <v>-1.5400000000000063</v>
      </c>
      <c r="AE64" s="239">
        <v>2.3419203758239746</v>
      </c>
      <c r="AF64" s="256">
        <v>55.398494720458984</v>
      </c>
      <c r="AG64" s="2">
        <v>0.05</v>
      </c>
      <c r="AH64" s="79">
        <v>0.56999999999999995</v>
      </c>
      <c r="AI64" s="2">
        <v>104</v>
      </c>
      <c r="AJ64" s="35">
        <v>39</v>
      </c>
      <c r="AK64" s="88"/>
    </row>
    <row r="65" spans="1:41" x14ac:dyDescent="0.3">
      <c r="A65" s="35">
        <v>40</v>
      </c>
      <c r="B65" s="236">
        <v>2.5608193874359131</v>
      </c>
      <c r="C65" s="234"/>
      <c r="L65" s="16" t="s">
        <v>15</v>
      </c>
      <c r="M65" s="47">
        <v>0.28049429599999998</v>
      </c>
      <c r="N65" s="135" t="s">
        <v>253</v>
      </c>
      <c r="O65" s="177">
        <v>64.263462018642599</v>
      </c>
      <c r="P65" s="179">
        <v>66.38586686662633</v>
      </c>
      <c r="Q65" s="185">
        <v>68.321685428629593</v>
      </c>
      <c r="R65" s="185">
        <v>69.073762552203817</v>
      </c>
      <c r="S65" s="175">
        <v>70.234480970614698</v>
      </c>
      <c r="T65" s="175">
        <v>71.577779175426031</v>
      </c>
      <c r="U65" s="175">
        <v>72.580470529014832</v>
      </c>
      <c r="V65" s="175">
        <v>73.850567796769951</v>
      </c>
      <c r="W65" s="174">
        <v>75.381946296019549</v>
      </c>
      <c r="X65" s="174">
        <v>94.307440216673641</v>
      </c>
      <c r="Y65" s="136">
        <v>174.44981498055648</v>
      </c>
      <c r="Z65" s="332">
        <v>45808</v>
      </c>
      <c r="AA65" s="332"/>
      <c r="AB65" s="2">
        <v>181</v>
      </c>
      <c r="AC65" s="79">
        <v>65.5</v>
      </c>
      <c r="AD65" s="38">
        <v>-3.2999999999999972</v>
      </c>
      <c r="AE65" s="224">
        <v>2.7633588314056396</v>
      </c>
      <c r="AF65" s="253">
        <v>64.351341247558594</v>
      </c>
      <c r="AG65" s="2">
        <v>0.13</v>
      </c>
      <c r="AH65" s="79">
        <v>2.46</v>
      </c>
      <c r="AI65" s="2">
        <v>2</v>
      </c>
      <c r="AJ65" s="35">
        <v>40</v>
      </c>
      <c r="AK65" s="15">
        <v>15.62</v>
      </c>
      <c r="AL65" s="171"/>
    </row>
    <row r="66" spans="1:41" x14ac:dyDescent="0.3">
      <c r="A66" s="35">
        <v>41</v>
      </c>
      <c r="B66" s="234">
        <v>2.1221532821655273</v>
      </c>
      <c r="C66" s="233">
        <v>1.3049013614654541</v>
      </c>
      <c r="L66" s="16" t="s">
        <v>15</v>
      </c>
      <c r="M66" s="47">
        <v>0.35523689190000002</v>
      </c>
      <c r="N66" s="135" t="s">
        <v>254</v>
      </c>
      <c r="O66" s="185">
        <v>68.869368614449371</v>
      </c>
      <c r="P66" s="175">
        <v>71.169706736033334</v>
      </c>
      <c r="Q66" s="175">
        <v>73.394028148357918</v>
      </c>
      <c r="R66" s="174">
        <v>75.694907429786113</v>
      </c>
      <c r="S66" s="196">
        <v>102.4395596333525</v>
      </c>
      <c r="T66" s="45">
        <v>119.21368203067304</v>
      </c>
      <c r="U66" s="45">
        <v>120.9559658093204</v>
      </c>
      <c r="V66" s="45">
        <v>179.03732287263412</v>
      </c>
      <c r="W66" s="45">
        <v>240.43411706591985</v>
      </c>
      <c r="X66" s="45">
        <v>243.02125779119365</v>
      </c>
      <c r="Y66" s="136">
        <v>184.24556580969775</v>
      </c>
      <c r="Z66" s="332">
        <v>45808</v>
      </c>
      <c r="AA66" s="332"/>
      <c r="AB66" s="2">
        <v>182</v>
      </c>
      <c r="AC66" s="79">
        <v>68.650000000000006</v>
      </c>
      <c r="AD66" s="38">
        <v>-0.69999999999998863</v>
      </c>
      <c r="AE66" s="225">
        <v>2.6511287689208984</v>
      </c>
      <c r="AF66" s="255">
        <v>59.740894317626953</v>
      </c>
      <c r="AG66" s="2">
        <v>0.03</v>
      </c>
      <c r="AH66" s="79">
        <v>0.48000000000000004</v>
      </c>
      <c r="AI66" s="2">
        <v>44</v>
      </c>
      <c r="AJ66" s="35">
        <v>41</v>
      </c>
      <c r="AK66" s="171">
        <v>19.32</v>
      </c>
      <c r="AL66" s="12">
        <v>31.42</v>
      </c>
    </row>
    <row r="67" spans="1:41" x14ac:dyDescent="0.3">
      <c r="A67" s="35">
        <v>42</v>
      </c>
      <c r="B67" s="246">
        <v>2.8206849098205566</v>
      </c>
      <c r="C67" s="247">
        <v>2.5454545021057129</v>
      </c>
      <c r="D67" s="235">
        <v>2.4911031723022461</v>
      </c>
      <c r="E67" s="237">
        <v>2.1638331413269043</v>
      </c>
      <c r="F67" s="237">
        <v>2.0638821125030518</v>
      </c>
      <c r="G67" s="238">
        <v>1.9653719663619995</v>
      </c>
      <c r="H67" s="284"/>
      <c r="I67" s="282"/>
      <c r="L67" s="16" t="s">
        <v>15</v>
      </c>
      <c r="M67" s="47">
        <v>0.44344618390000001</v>
      </c>
      <c r="N67" s="135" t="s">
        <v>255</v>
      </c>
      <c r="O67" s="175">
        <v>70.806316902571567</v>
      </c>
      <c r="P67" s="175">
        <v>73.558122723827196</v>
      </c>
      <c r="Q67" s="174">
        <v>76.235687564796876</v>
      </c>
      <c r="R67" s="211">
        <v>84.62878631684319</v>
      </c>
      <c r="S67" s="211">
        <v>97.194865047589104</v>
      </c>
      <c r="T67" s="45">
        <v>126.62287059662968</v>
      </c>
      <c r="U67" s="45">
        <v>181.0830278875296</v>
      </c>
      <c r="V67" s="45">
        <v>356.91611217756127</v>
      </c>
      <c r="W67" s="45">
        <v>747.56956847545871</v>
      </c>
      <c r="X67" s="45"/>
      <c r="Y67" s="136">
        <v>194.05579055511691</v>
      </c>
      <c r="Z67" s="332">
        <v>45808</v>
      </c>
      <c r="AA67" s="332"/>
      <c r="AB67" s="2">
        <v>217</v>
      </c>
      <c r="AC67" s="79">
        <v>79.02</v>
      </c>
      <c r="AD67" s="38">
        <v>-7.5300000000000011</v>
      </c>
      <c r="AE67" s="225">
        <v>2.7461402416229248</v>
      </c>
      <c r="AF67" s="256">
        <v>56.078460693359375</v>
      </c>
      <c r="AG67" s="79">
        <v>0.24</v>
      </c>
      <c r="AH67" s="2">
        <v>0.44</v>
      </c>
      <c r="AI67" s="2">
        <v>134</v>
      </c>
      <c r="AJ67" s="35">
        <v>42</v>
      </c>
      <c r="AK67" s="203">
        <v>14.89</v>
      </c>
      <c r="AL67" s="204">
        <v>16.5</v>
      </c>
      <c r="AM67" s="81">
        <v>16.86</v>
      </c>
      <c r="AN67" s="171">
        <v>19.41</v>
      </c>
      <c r="AO67" s="84">
        <v>20.350000000000001</v>
      </c>
    </row>
    <row r="68" spans="1:41" x14ac:dyDescent="0.3">
      <c r="A68" s="35">
        <v>43</v>
      </c>
      <c r="B68" s="248">
        <v>2.3626372814178467</v>
      </c>
      <c r="C68" s="235">
        <v>2.2607781887054443</v>
      </c>
      <c r="L68" s="16" t="s">
        <v>15</v>
      </c>
      <c r="M68" s="47">
        <v>0.54593064539999991</v>
      </c>
      <c r="N68" s="14" t="s">
        <v>256</v>
      </c>
      <c r="O68" s="174">
        <v>76.386374423482067</v>
      </c>
      <c r="P68" s="211">
        <v>80.135457079602133</v>
      </c>
      <c r="Q68" s="196">
        <v>112.70073889183074</v>
      </c>
      <c r="R68" s="45">
        <v>201.75506774806294</v>
      </c>
      <c r="S68" s="45">
        <v>380.02722212388016</v>
      </c>
      <c r="T68" s="45"/>
      <c r="U68" s="45"/>
      <c r="V68" s="45"/>
      <c r="W68" s="45"/>
      <c r="X68" s="45"/>
      <c r="Y68" s="104">
        <v>203.87906786292635</v>
      </c>
      <c r="Z68" s="332">
        <v>45807</v>
      </c>
      <c r="AA68" s="332"/>
      <c r="AB68" s="2">
        <v>13</v>
      </c>
      <c r="AC68" s="79">
        <v>3.33</v>
      </c>
      <c r="AD68" s="38">
        <v>-9.9999999999997868E-3</v>
      </c>
      <c r="AE68" s="257">
        <v>3.9039039611816406</v>
      </c>
      <c r="AF68" s="255">
        <v>60.546730041503906</v>
      </c>
      <c r="AG68" s="2">
        <v>0.01</v>
      </c>
      <c r="AH68" s="79">
        <v>0.76</v>
      </c>
      <c r="AI68" s="2">
        <v>-3</v>
      </c>
      <c r="AJ68" s="35">
        <v>43</v>
      </c>
      <c r="AK68" s="194">
        <v>18.2</v>
      </c>
      <c r="AL68" s="171">
        <v>19.02</v>
      </c>
    </row>
    <row r="69" spans="1:41" x14ac:dyDescent="0.3">
      <c r="A69" s="35">
        <v>44</v>
      </c>
      <c r="B69" s="235">
        <v>2.3504273891448975</v>
      </c>
      <c r="C69" s="235">
        <v>2.3379383087158203</v>
      </c>
      <c r="D69" s="306"/>
      <c r="L69" s="16" t="s">
        <v>15</v>
      </c>
      <c r="M69" s="47">
        <v>0.66313860180000006</v>
      </c>
      <c r="N69" s="14" t="s">
        <v>257</v>
      </c>
      <c r="O69" s="45">
        <v>178.7274790142167</v>
      </c>
      <c r="P69" s="45">
        <v>367.1506134171201</v>
      </c>
      <c r="Q69" s="45">
        <v>551.01662138531401</v>
      </c>
      <c r="R69" s="45">
        <v>559.305766505576</v>
      </c>
      <c r="S69" s="45">
        <v>597.98810394179065</v>
      </c>
      <c r="T69" s="45"/>
      <c r="U69" s="45"/>
      <c r="V69" s="45"/>
      <c r="W69" s="45"/>
      <c r="X69" s="45"/>
      <c r="Y69" s="104">
        <v>213.71382887809881</v>
      </c>
      <c r="Z69" s="332">
        <v>45807</v>
      </c>
      <c r="AA69" s="332"/>
      <c r="AB69" s="2">
        <v>79</v>
      </c>
      <c r="AC69" s="79">
        <v>25.8</v>
      </c>
      <c r="AD69" s="38">
        <v>-0.33999999999999986</v>
      </c>
      <c r="AE69" s="227">
        <v>3.0620155334472656</v>
      </c>
      <c r="AF69" s="256">
        <v>50.978683471679688</v>
      </c>
      <c r="AG69" s="79">
        <v>0.04</v>
      </c>
      <c r="AH69" s="79">
        <v>0.61</v>
      </c>
      <c r="AI69" s="2">
        <v>44</v>
      </c>
      <c r="AJ69" s="35">
        <v>44</v>
      </c>
      <c r="AK69" s="82">
        <v>18.72</v>
      </c>
      <c r="AL69" s="82">
        <v>18.82</v>
      </c>
    </row>
    <row r="70" spans="1:41" x14ac:dyDescent="0.3">
      <c r="A70" s="35">
        <v>45</v>
      </c>
      <c r="B70" s="234">
        <v>2.0454545021057129</v>
      </c>
      <c r="L70" s="16" t="s">
        <v>15</v>
      </c>
      <c r="M70" s="47">
        <v>0.79514662749999987</v>
      </c>
      <c r="N70" s="14" t="s">
        <v>258</v>
      </c>
      <c r="O70" s="45">
        <v>187.99687615083928</v>
      </c>
      <c r="P70" s="45"/>
      <c r="Q70" s="45"/>
      <c r="R70" s="45"/>
      <c r="S70" s="45"/>
      <c r="T70" s="45"/>
      <c r="U70" s="45"/>
      <c r="V70" s="45"/>
      <c r="W70" s="45"/>
      <c r="X70" s="45"/>
      <c r="Y70" s="104">
        <v>226.9587400257335</v>
      </c>
      <c r="Z70" s="332">
        <v>45807</v>
      </c>
      <c r="AA70" s="332"/>
      <c r="AB70" s="2">
        <v>159</v>
      </c>
      <c r="AC70" s="79">
        <v>61.91</v>
      </c>
      <c r="AD70" s="38">
        <v>-3.1800000000000068</v>
      </c>
      <c r="AE70" s="225">
        <v>2.5682442188262939</v>
      </c>
      <c r="AF70" s="255">
        <v>62.214698791503906</v>
      </c>
      <c r="AG70" s="2">
        <v>0.13</v>
      </c>
      <c r="AH70" s="79">
        <v>2.0300000000000002</v>
      </c>
      <c r="AI70" s="2">
        <v>-2</v>
      </c>
      <c r="AJ70" s="35">
        <v>45</v>
      </c>
      <c r="AK70" s="86">
        <v>22</v>
      </c>
    </row>
    <row r="71" spans="1:41" x14ac:dyDescent="0.3">
      <c r="A71" s="35">
        <v>46</v>
      </c>
      <c r="B71" s="236">
        <v>2.6136362552642822</v>
      </c>
      <c r="C71" s="235">
        <v>2.4429101943969727</v>
      </c>
      <c r="D71" s="235">
        <v>2.3433520793914795</v>
      </c>
      <c r="E71" s="239">
        <v>2.3138833045959473</v>
      </c>
      <c r="F71" s="239">
        <v>2.2817461490631104</v>
      </c>
      <c r="G71" s="237">
        <v>2.1915197372436523</v>
      </c>
      <c r="H71" s="237">
        <v>2.0730059146881104</v>
      </c>
      <c r="I71" s="237">
        <v>2.0052309036254883</v>
      </c>
      <c r="J71" s="282"/>
      <c r="L71" s="16" t="s">
        <v>15</v>
      </c>
      <c r="M71" s="47">
        <v>0.94158082430000001</v>
      </c>
      <c r="N71" s="35" t="s">
        <v>125</v>
      </c>
      <c r="O71" s="45">
        <v>4.6086290991726617</v>
      </c>
      <c r="P71" s="45">
        <v>4.7855282483681369</v>
      </c>
      <c r="Q71" s="45">
        <v>4.9933193528686557</v>
      </c>
      <c r="R71" s="45">
        <v>5.1574624812656369</v>
      </c>
      <c r="S71" s="45">
        <v>5.2661425551937047</v>
      </c>
      <c r="T71" s="45">
        <v>5.3633385307094086</v>
      </c>
      <c r="U71" s="45">
        <v>5.4334176203707525</v>
      </c>
      <c r="V71" s="45">
        <v>5.4884006605055333</v>
      </c>
      <c r="W71" s="45">
        <v>5.5770625746556082</v>
      </c>
      <c r="X71" s="45">
        <v>5.6272143929511671</v>
      </c>
      <c r="Y71" s="104">
        <v>17.202943471314985</v>
      </c>
      <c r="Z71" s="332">
        <v>45807</v>
      </c>
      <c r="AA71" s="332"/>
      <c r="AB71" s="2">
        <v>188</v>
      </c>
      <c r="AC71" s="79">
        <v>67.63</v>
      </c>
      <c r="AD71" s="38">
        <v>-4.9100000000000108</v>
      </c>
      <c r="AE71" s="224">
        <v>2.7798316478729248</v>
      </c>
      <c r="AF71" s="253">
        <v>63.300945281982422</v>
      </c>
      <c r="AG71" s="79">
        <v>0.19</v>
      </c>
      <c r="AH71" s="79">
        <v>2.81</v>
      </c>
      <c r="AI71" s="2">
        <v>111</v>
      </c>
      <c r="AJ71" s="35">
        <v>46</v>
      </c>
      <c r="AK71" s="16">
        <v>17.600000000000001</v>
      </c>
      <c r="AL71" s="82">
        <v>18.829999999999998</v>
      </c>
      <c r="AM71" s="171">
        <v>19.63</v>
      </c>
      <c r="AN71" s="171">
        <v>19.88</v>
      </c>
      <c r="AO71" s="84">
        <v>20.16</v>
      </c>
    </row>
    <row r="72" spans="1:41" x14ac:dyDescent="0.3">
      <c r="A72" s="35">
        <v>47</v>
      </c>
      <c r="B72" s="247">
        <v>2.5053305625915527</v>
      </c>
      <c r="C72" s="235">
        <v>2.4453694820404053</v>
      </c>
      <c r="D72" s="248">
        <v>2.4440977573394775</v>
      </c>
      <c r="E72" s="239">
        <v>2.3725392818450928</v>
      </c>
      <c r="F72" s="239">
        <v>2.3476521968841553</v>
      </c>
      <c r="G72" s="239">
        <v>2.2628791332244873</v>
      </c>
      <c r="H72" s="237">
        <v>2.1639041900634766</v>
      </c>
      <c r="I72" s="238">
        <v>1.5011178255081177</v>
      </c>
      <c r="J72" s="238"/>
      <c r="L72" s="35" t="s">
        <v>43</v>
      </c>
      <c r="M72" s="47">
        <v>1.1015839559</v>
      </c>
      <c r="N72" s="35" t="s">
        <v>126</v>
      </c>
      <c r="O72" s="45">
        <v>21.972281251373314</v>
      </c>
      <c r="P72" s="45">
        <v>23.742906278631079</v>
      </c>
      <c r="Q72" s="45">
        <v>24.953497489530093</v>
      </c>
      <c r="R72" s="45">
        <v>25.460418741171022</v>
      </c>
      <c r="S72" s="45">
        <v>26.715375500763475</v>
      </c>
      <c r="T72" s="45">
        <v>27.378337065096318</v>
      </c>
      <c r="U72" s="45">
        <v>29.229638712654726</v>
      </c>
      <c r="V72" s="45">
        <v>30.830575999780343</v>
      </c>
      <c r="W72" s="45">
        <v>36.305252141413142</v>
      </c>
      <c r="X72" s="45">
        <v>38.190421832042951</v>
      </c>
      <c r="Y72" s="104">
        <v>64.916955640568986</v>
      </c>
      <c r="Z72" s="332">
        <v>45807</v>
      </c>
      <c r="AA72" s="332"/>
      <c r="AB72" s="2">
        <v>194</v>
      </c>
      <c r="AC72" s="79">
        <v>69.680000000000007</v>
      </c>
      <c r="AD72" s="38">
        <v>-4.6999999999999886</v>
      </c>
      <c r="AE72" s="224">
        <v>2.7841560840606689</v>
      </c>
      <c r="AF72" s="255">
        <v>62.087924957275391</v>
      </c>
      <c r="AG72" s="79">
        <v>0.18</v>
      </c>
      <c r="AH72" s="79">
        <v>1.99</v>
      </c>
      <c r="AI72" s="2">
        <v>30</v>
      </c>
      <c r="AJ72" s="35">
        <v>47</v>
      </c>
      <c r="AK72" s="194">
        <v>18.760000000000002</v>
      </c>
      <c r="AL72" s="171">
        <v>19.22</v>
      </c>
      <c r="AM72" s="193">
        <v>19.23</v>
      </c>
      <c r="AN72" s="171">
        <v>19.809999999999999</v>
      </c>
      <c r="AO72" s="84">
        <v>20.02</v>
      </c>
    </row>
    <row r="73" spans="1:41" x14ac:dyDescent="0.3">
      <c r="A73" s="35">
        <v>48</v>
      </c>
      <c r="B73" s="236">
        <v>2.6845638751983643</v>
      </c>
      <c r="C73" s="247">
        <v>2.5210082530975342</v>
      </c>
      <c r="D73" s="248">
        <v>2.4691357612609863</v>
      </c>
      <c r="E73" s="239">
        <v>2.4217963218688965</v>
      </c>
      <c r="F73" s="239">
        <v>2.3809523582458496</v>
      </c>
      <c r="G73" s="239">
        <v>2.3312287330627441</v>
      </c>
      <c r="H73" s="239">
        <v>2.2944550514221191</v>
      </c>
      <c r="I73" s="239">
        <v>2.2824535369873047</v>
      </c>
      <c r="J73" s="239">
        <v>2.2524635791778564</v>
      </c>
      <c r="K73" s="239">
        <v>2.2503516674041748</v>
      </c>
      <c r="L73" s="35" t="s">
        <v>43</v>
      </c>
      <c r="M73" s="47">
        <v>1.2738085503000001</v>
      </c>
      <c r="N73" s="35" t="s">
        <v>127</v>
      </c>
      <c r="O73" s="45">
        <v>68.44831397892402</v>
      </c>
      <c r="P73" s="45">
        <v>72.702343104217988</v>
      </c>
      <c r="Q73" s="45">
        <v>77.395653893280553</v>
      </c>
      <c r="R73" s="45">
        <v>82.300348820724508</v>
      </c>
      <c r="S73" s="45">
        <v>91.174376734663895</v>
      </c>
      <c r="T73" s="45">
        <v>101.98125688506435</v>
      </c>
      <c r="U73" s="45">
        <v>113.52218569082874</v>
      </c>
      <c r="V73" s="45">
        <v>133.72743789744456</v>
      </c>
      <c r="W73" s="45">
        <v>150.65725119803625</v>
      </c>
      <c r="X73" s="45">
        <v>186.86302670683051</v>
      </c>
      <c r="Y73" s="104">
        <v>173.57305017769511</v>
      </c>
      <c r="Z73" s="332">
        <v>45806</v>
      </c>
      <c r="AA73" s="332"/>
      <c r="AB73" s="2">
        <v>183</v>
      </c>
      <c r="AC73" s="79">
        <v>65.73</v>
      </c>
      <c r="AD73" s="38">
        <v>-1.7000000000000028</v>
      </c>
      <c r="AE73" s="224">
        <v>2.7841167449951172</v>
      </c>
      <c r="AF73" s="253">
        <v>64.675849914550781</v>
      </c>
      <c r="AG73" s="2">
        <v>7.0000000000000007E-2</v>
      </c>
      <c r="AH73" s="79">
        <v>1.24</v>
      </c>
      <c r="AI73" s="2">
        <v>-3</v>
      </c>
      <c r="AJ73" s="35">
        <v>48</v>
      </c>
      <c r="AK73" s="16">
        <v>17.88</v>
      </c>
      <c r="AL73" s="193">
        <v>19.04</v>
      </c>
      <c r="AM73" s="193">
        <v>19.440000000000001</v>
      </c>
      <c r="AN73" s="171">
        <v>19.82</v>
      </c>
      <c r="AO73" s="84">
        <v>20.16</v>
      </c>
    </row>
    <row r="74" spans="1:41" x14ac:dyDescent="0.3">
      <c r="A74" s="35">
        <v>49</v>
      </c>
      <c r="B74" s="223">
        <v>2.8016009330749512</v>
      </c>
      <c r="C74" s="236">
        <v>2.6923074722290039</v>
      </c>
      <c r="D74" s="247">
        <v>2.6372444629669189</v>
      </c>
      <c r="E74" s="225">
        <v>2.6329929828643799</v>
      </c>
      <c r="F74" s="225">
        <v>2.6315789222717285</v>
      </c>
      <c r="G74" s="239">
        <v>2.4536805152893066</v>
      </c>
      <c r="H74" s="239">
        <v>2.4341778755187988</v>
      </c>
      <c r="I74" s="239">
        <v>2.3879141807556152</v>
      </c>
      <c r="J74" s="237">
        <v>2.2202084064483643</v>
      </c>
      <c r="K74" s="237">
        <v>2.1982951164245605</v>
      </c>
      <c r="L74" s="35" t="s">
        <v>43</v>
      </c>
      <c r="M74" s="47">
        <v>1.4563052220000001</v>
      </c>
      <c r="N74" s="40"/>
      <c r="O74" s="45">
        <f>SUM(O71:O73)</f>
        <v>95.029224329469997</v>
      </c>
      <c r="P74" s="45">
        <f t="shared" ref="P74:X74" si="3">SUM(P71:P73)</f>
        <v>101.23077763121721</v>
      </c>
      <c r="Q74" s="45">
        <f t="shared" si="3"/>
        <v>107.3424707356793</v>
      </c>
      <c r="R74" s="45">
        <f t="shared" si="3"/>
        <v>112.91823004316117</v>
      </c>
      <c r="S74" s="45">
        <f t="shared" si="3"/>
        <v>123.15589479062108</v>
      </c>
      <c r="T74" s="45">
        <f t="shared" si="3"/>
        <v>134.72293248087007</v>
      </c>
      <c r="U74" s="45">
        <f t="shared" si="3"/>
        <v>148.18524202385422</v>
      </c>
      <c r="V74" s="45">
        <f t="shared" si="3"/>
        <v>170.04641455773043</v>
      </c>
      <c r="W74" s="45">
        <f t="shared" si="3"/>
        <v>192.539565914105</v>
      </c>
      <c r="X74" s="45">
        <f t="shared" si="3"/>
        <v>230.68066293182463</v>
      </c>
      <c r="Z74" s="332">
        <v>45806</v>
      </c>
      <c r="AA74" s="332"/>
      <c r="AB74" s="2">
        <v>192</v>
      </c>
      <c r="AC74" s="79">
        <v>69.11</v>
      </c>
      <c r="AD74" s="38">
        <v>-2.9399999999999977</v>
      </c>
      <c r="AE74" s="224">
        <v>2.7781796455383301</v>
      </c>
      <c r="AF74" s="255">
        <v>62.311897277832031</v>
      </c>
      <c r="AG74" s="2">
        <v>0.11</v>
      </c>
      <c r="AH74" s="79">
        <v>1.42</v>
      </c>
      <c r="AI74" s="2">
        <v>41</v>
      </c>
      <c r="AJ74" s="35">
        <v>49</v>
      </c>
      <c r="AK74" s="16">
        <v>17.489999999999998</v>
      </c>
      <c r="AL74" s="82">
        <v>18.2</v>
      </c>
      <c r="AM74" s="194">
        <v>18.579999999999998</v>
      </c>
      <c r="AN74" s="82">
        <v>18.61</v>
      </c>
      <c r="AO74" s="82">
        <v>18.62</v>
      </c>
    </row>
    <row r="75" spans="1:41" x14ac:dyDescent="0.3">
      <c r="A75" s="35">
        <v>50</v>
      </c>
      <c r="B75" s="247">
        <v>2.7472527027130127</v>
      </c>
      <c r="C75" s="235">
        <v>2.4630541801452637</v>
      </c>
      <c r="D75" s="248">
        <v>2.4131274223327637</v>
      </c>
      <c r="E75" s="239">
        <v>2.3957834243774414</v>
      </c>
      <c r="F75" s="239">
        <v>2.3696682453155518</v>
      </c>
      <c r="G75" s="239">
        <v>2.361832857131958</v>
      </c>
      <c r="H75" s="239">
        <v>2.3430178165435791</v>
      </c>
      <c r="I75" s="237">
        <v>2.1523892879486084</v>
      </c>
      <c r="J75" s="237">
        <v>2.0781381130218506</v>
      </c>
      <c r="K75" s="237">
        <v>2.0466639995574951</v>
      </c>
      <c r="L75" s="35" t="s">
        <v>43</v>
      </c>
      <c r="M75" s="47">
        <v>1.6468015433000001</v>
      </c>
      <c r="N75" s="35"/>
      <c r="O75" s="48"/>
      <c r="P75" s="48"/>
      <c r="Q75" s="48"/>
      <c r="R75" s="48"/>
      <c r="S75" s="48"/>
      <c r="T75" s="48"/>
      <c r="U75" s="48"/>
      <c r="V75" s="48"/>
      <c r="W75" s="48"/>
      <c r="X75" s="48"/>
      <c r="Z75" s="341">
        <v>45810</v>
      </c>
      <c r="AA75" s="341"/>
      <c r="AB75" s="106">
        <v>6</v>
      </c>
      <c r="AC75" s="106">
        <v>3.18</v>
      </c>
      <c r="AD75" s="106"/>
      <c r="AE75" s="107">
        <v>1.8867924213409424</v>
      </c>
      <c r="AF75" s="108">
        <v>30.222309112548828</v>
      </c>
      <c r="AG75" s="106"/>
      <c r="AH75" s="106"/>
      <c r="AI75" s="106"/>
      <c r="AJ75" s="35">
        <v>50</v>
      </c>
      <c r="AK75" s="194">
        <v>18.2</v>
      </c>
      <c r="AL75" s="84">
        <v>20.3</v>
      </c>
      <c r="AM75" s="188">
        <v>20.72</v>
      </c>
      <c r="AN75" s="84">
        <v>20.87</v>
      </c>
      <c r="AO75" s="85">
        <v>21.1</v>
      </c>
    </row>
    <row r="76" spans="1:41" x14ac:dyDescent="0.3">
      <c r="A76" s="35">
        <v>51</v>
      </c>
      <c r="B76" s="236">
        <v>2.6356589794158936</v>
      </c>
      <c r="C76" s="235">
        <v>2.490234375</v>
      </c>
      <c r="D76" s="248">
        <v>2.2566370964050293</v>
      </c>
      <c r="E76" s="237">
        <v>2.1850900650024414</v>
      </c>
      <c r="F76" s="237">
        <v>2.124114990234375</v>
      </c>
      <c r="G76" s="237">
        <v>2.1109271049499512</v>
      </c>
      <c r="H76" s="238">
        <v>1.9015660285949707</v>
      </c>
      <c r="I76" s="282"/>
      <c r="L76" s="35" t="s">
        <v>43</v>
      </c>
      <c r="M76" s="47">
        <v>1.8425083200999999</v>
      </c>
      <c r="N76" s="40"/>
      <c r="O76" s="45">
        <f>SUM(O49:O50,O53:O57,O63:O67)</f>
        <v>450.78499052701432</v>
      </c>
      <c r="P76" s="45">
        <f>SUM(P49:P50,P53:P57,P63:P67)</f>
        <v>472.64951757373689</v>
      </c>
      <c r="Q76" s="45">
        <f>SUM(Q49:Q50,Q53:Q57,Q63:Q67)</f>
        <v>492.08287643320494</v>
      </c>
      <c r="R76" s="45">
        <f>SUM(R49:R50,R53:R57,R63:R67)</f>
        <v>513.32240208465851</v>
      </c>
      <c r="S76" s="45">
        <f t="shared" ref="S76:X76" si="4">SUM(S49:S50,S53:S57,S63:S67)</f>
        <v>576.18629000839189</v>
      </c>
      <c r="T76" s="45">
        <f t="shared" si="4"/>
        <v>644.07466574795626</v>
      </c>
      <c r="U76" s="45">
        <f t="shared" si="4"/>
        <v>779.95811477206189</v>
      </c>
      <c r="V76" s="45">
        <f t="shared" si="4"/>
        <v>1153.3649085849499</v>
      </c>
      <c r="W76" s="45">
        <f t="shared" si="4"/>
        <v>1671.7438182261708</v>
      </c>
      <c r="X76" s="45">
        <f t="shared" si="4"/>
        <v>1016.3739076284877</v>
      </c>
      <c r="Z76" s="341">
        <v>45810</v>
      </c>
      <c r="AA76" s="341"/>
      <c r="AB76" s="106">
        <v>13</v>
      </c>
      <c r="AC76" s="106">
        <v>3.34</v>
      </c>
      <c r="AD76" s="106"/>
      <c r="AE76" s="107">
        <v>3.8922157287597656</v>
      </c>
      <c r="AF76" s="108">
        <v>60.238880157470703</v>
      </c>
      <c r="AG76" s="106"/>
      <c r="AH76" s="106"/>
      <c r="AI76" s="106"/>
      <c r="AJ76" s="35">
        <v>51</v>
      </c>
      <c r="AK76" s="171">
        <v>19.350000000000001</v>
      </c>
      <c r="AL76" s="84">
        <v>20.48</v>
      </c>
      <c r="AM76" s="200">
        <v>22.6</v>
      </c>
      <c r="AN76" s="86">
        <v>23.34</v>
      </c>
      <c r="AO76" s="87">
        <v>24.01</v>
      </c>
    </row>
    <row r="77" spans="1:41" x14ac:dyDescent="0.3">
      <c r="A77" s="35">
        <v>52</v>
      </c>
      <c r="B77" s="246">
        <v>2.8729281425476074</v>
      </c>
      <c r="C77" s="247">
        <v>2.5948102474212646</v>
      </c>
      <c r="D77" s="235">
        <v>2.372262716293335</v>
      </c>
      <c r="E77" s="239">
        <v>2.3668639659881592</v>
      </c>
      <c r="F77" s="239">
        <v>2.3604176044464111</v>
      </c>
      <c r="G77" s="239">
        <v>2.3152272701263428</v>
      </c>
      <c r="H77" s="237">
        <v>2.2452504634857178</v>
      </c>
      <c r="I77" s="237">
        <v>2.1207177639007568</v>
      </c>
      <c r="J77" s="237"/>
      <c r="K77" s="237"/>
      <c r="L77" s="35" t="s">
        <v>43</v>
      </c>
      <c r="M77" s="47">
        <v>2.0403069431</v>
      </c>
      <c r="N77" s="40" t="s">
        <v>355</v>
      </c>
      <c r="O77" s="152">
        <f>O76/86400</f>
        <v>5.2174188718404433E-3</v>
      </c>
      <c r="P77" s="152">
        <f t="shared" ref="P77:X77" si="5">P76/86400</f>
        <v>5.4704805274738066E-3</v>
      </c>
      <c r="Q77" s="152">
        <f t="shared" si="5"/>
        <v>5.6954036624213538E-3</v>
      </c>
      <c r="R77" s="152">
        <f t="shared" si="5"/>
        <v>5.9412315056094735E-3</v>
      </c>
      <c r="S77" s="152">
        <f t="shared" si="5"/>
        <v>6.6688228010230539E-3</v>
      </c>
      <c r="T77" s="152">
        <f t="shared" si="5"/>
        <v>7.4545678906013458E-3</v>
      </c>
      <c r="U77" s="152">
        <f t="shared" si="5"/>
        <v>9.0272929950470128E-3</v>
      </c>
      <c r="V77" s="152">
        <f t="shared" si="5"/>
        <v>1.3349130886399883E-2</v>
      </c>
      <c r="W77" s="152">
        <f t="shared" si="5"/>
        <v>1.9348886785025124E-2</v>
      </c>
      <c r="X77" s="152">
        <f t="shared" si="5"/>
        <v>1.1763586893848238E-2</v>
      </c>
      <c r="Z77" s="341">
        <v>45810</v>
      </c>
      <c r="AA77" s="341"/>
      <c r="AB77" s="106">
        <v>34</v>
      </c>
      <c r="AC77" s="106">
        <v>9.5399999999999991</v>
      </c>
      <c r="AD77" s="106"/>
      <c r="AE77" s="107">
        <v>3.5639412403106689</v>
      </c>
      <c r="AF77" s="108">
        <v>26.457521438598633</v>
      </c>
      <c r="AG77" s="106"/>
      <c r="AH77" s="106"/>
      <c r="AI77" s="106"/>
      <c r="AJ77" s="35">
        <v>52</v>
      </c>
      <c r="AK77" s="194">
        <v>18.100000000000001</v>
      </c>
      <c r="AL77" s="188">
        <v>20.04</v>
      </c>
      <c r="AM77" s="85">
        <v>21.92</v>
      </c>
      <c r="AN77" s="85">
        <v>21.97</v>
      </c>
      <c r="AO77" s="86">
        <v>22.03</v>
      </c>
    </row>
    <row r="78" spans="1:41" x14ac:dyDescent="0.3">
      <c r="A78" s="35">
        <v>53</v>
      </c>
      <c r="B78" s="242">
        <v>3.0831878185272217</v>
      </c>
      <c r="C78" s="235">
        <v>2.4548401832580566</v>
      </c>
      <c r="D78" s="248">
        <v>2.4003622531890869</v>
      </c>
      <c r="E78" s="239">
        <v>2.3852386474609375</v>
      </c>
      <c r="F78" s="239">
        <v>2.3713645935058594</v>
      </c>
      <c r="G78" s="239">
        <v>2.3378915786743164</v>
      </c>
      <c r="H78" s="239">
        <v>2.3266022205352783</v>
      </c>
      <c r="I78" s="239">
        <v>2.2943723201751709</v>
      </c>
      <c r="J78" s="239">
        <v>2.2639896869659424</v>
      </c>
      <c r="K78" s="237">
        <v>2.2438609600067139</v>
      </c>
      <c r="L78" s="35" t="s">
        <v>43</v>
      </c>
      <c r="M78" s="47">
        <v>2.2368657698000001</v>
      </c>
      <c r="N78" s="2"/>
      <c r="O78" s="138">
        <f>O77</f>
        <v>5.2174188718404433E-3</v>
      </c>
      <c r="P78" s="138">
        <f>P77+O78</f>
        <v>1.0687899399314249E-2</v>
      </c>
      <c r="Q78" s="138">
        <f t="shared" ref="Q78:X78" si="6">Q77+P78</f>
        <v>1.6383303061735605E-2</v>
      </c>
      <c r="R78" s="138">
        <f t="shared" si="6"/>
        <v>2.2324534567345077E-2</v>
      </c>
      <c r="S78" s="138">
        <f t="shared" si="6"/>
        <v>2.8993357368368132E-2</v>
      </c>
      <c r="T78" s="138">
        <f t="shared" si="6"/>
        <v>3.6447925258969477E-2</v>
      </c>
      <c r="U78" s="138">
        <f t="shared" si="6"/>
        <v>4.5475218254016486E-2</v>
      </c>
      <c r="V78" s="138">
        <f t="shared" si="6"/>
        <v>5.8824349140416371E-2</v>
      </c>
      <c r="W78" s="138">
        <f t="shared" si="6"/>
        <v>7.8173235925441495E-2</v>
      </c>
      <c r="X78" s="138">
        <f t="shared" si="6"/>
        <v>8.9936822819289733E-2</v>
      </c>
      <c r="Z78" s="341">
        <v>45810</v>
      </c>
      <c r="AA78" s="341"/>
      <c r="AB78" s="106">
        <v>54</v>
      </c>
      <c r="AC78" s="106">
        <v>20.27</v>
      </c>
      <c r="AD78" s="106"/>
      <c r="AE78" s="107">
        <v>2.6640355587005615</v>
      </c>
      <c r="AF78" s="108">
        <v>52.511859893798828</v>
      </c>
      <c r="AG78" s="106"/>
      <c r="AH78" s="106"/>
      <c r="AI78" s="106"/>
      <c r="AJ78" s="35">
        <v>53</v>
      </c>
      <c r="AK78" s="190">
        <v>17.190000000000001</v>
      </c>
      <c r="AL78" s="85">
        <v>21.59</v>
      </c>
      <c r="AM78" s="200">
        <v>22.08</v>
      </c>
      <c r="AN78" s="86">
        <v>22.22</v>
      </c>
      <c r="AO78" s="86">
        <v>22.35</v>
      </c>
    </row>
    <row r="79" spans="1:41" x14ac:dyDescent="0.3">
      <c r="A79" s="35">
        <v>54</v>
      </c>
      <c r="B79" s="236">
        <v>2.6919243335723877</v>
      </c>
      <c r="C79" s="247">
        <v>2.6640355587005615</v>
      </c>
      <c r="D79" s="236">
        <v>2.6099565029144287</v>
      </c>
      <c r="E79" s="225">
        <v>2.6011559963226318</v>
      </c>
      <c r="F79" s="239">
        <v>2.4601366519927979</v>
      </c>
      <c r="G79" s="239">
        <v>2.3862130641937256</v>
      </c>
      <c r="H79" s="239">
        <v>2.3684210777282715</v>
      </c>
      <c r="I79" s="239">
        <v>2.332613468170166</v>
      </c>
      <c r="J79" s="239">
        <v>2.3106546401977539</v>
      </c>
      <c r="K79" s="239">
        <v>2.3008096218109131</v>
      </c>
      <c r="L79" s="35" t="s">
        <v>43</v>
      </c>
      <c r="M79" s="47">
        <v>2.4286415134000001</v>
      </c>
      <c r="N79" s="35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54"/>
      <c r="Z79" s="341">
        <v>45810</v>
      </c>
      <c r="AA79" s="341"/>
      <c r="AB79" s="106">
        <v>84</v>
      </c>
      <c r="AC79" s="106">
        <v>27.64</v>
      </c>
      <c r="AD79" s="106"/>
      <c r="AE79" s="107">
        <v>3.0390739440917969</v>
      </c>
      <c r="AF79" s="108">
        <v>48.2147216796875</v>
      </c>
      <c r="AG79" s="106"/>
      <c r="AH79" s="106"/>
      <c r="AI79" s="106"/>
      <c r="AJ79" s="35">
        <v>54</v>
      </c>
      <c r="AK79" s="84">
        <v>20.059999999999999</v>
      </c>
      <c r="AL79" s="188">
        <v>20.27</v>
      </c>
      <c r="AM79" s="84">
        <v>20.69</v>
      </c>
      <c r="AN79" s="84">
        <v>20.76</v>
      </c>
      <c r="AO79" s="85">
        <v>21.95</v>
      </c>
    </row>
    <row r="80" spans="1:41" x14ac:dyDescent="0.3">
      <c r="A80" s="35">
        <v>55</v>
      </c>
      <c r="B80" s="223">
        <v>2.9858849048614502</v>
      </c>
      <c r="C80" s="246">
        <v>2.7652087211608887</v>
      </c>
      <c r="D80" s="247">
        <v>2.666020393371582</v>
      </c>
      <c r="E80" s="225">
        <v>2.6493256092071533</v>
      </c>
      <c r="F80" s="239">
        <v>2.4707996845245361</v>
      </c>
      <c r="G80" s="239">
        <v>2.385082483291626</v>
      </c>
      <c r="H80" s="239">
        <v>2.3595023155212402</v>
      </c>
      <c r="I80" s="237">
        <v>2.1129465103149414</v>
      </c>
      <c r="L80" s="35" t="s">
        <v>43</v>
      </c>
      <c r="M80" s="47">
        <v>2.6120070009999998</v>
      </c>
      <c r="N80" s="2"/>
      <c r="O80" s="29">
        <f>SUM(O48:O70)</f>
        <v>1362.6529425699541</v>
      </c>
      <c r="P80" s="29">
        <f>SUM(P48:P70)</f>
        <v>1867.7548748641589</v>
      </c>
      <c r="Q80" s="29">
        <f>SUM(Q48:Q70)</f>
        <v>1793.0960081929536</v>
      </c>
      <c r="R80" s="29">
        <f>SUM(R48:R70)</f>
        <v>1942.350373110507</v>
      </c>
      <c r="S80" s="29">
        <f t="shared" ref="S80:X80" si="7">SUM(S48:S70)</f>
        <v>2114.9946843511943</v>
      </c>
      <c r="T80" s="29">
        <f t="shared" si="7"/>
        <v>766.20630598178911</v>
      </c>
      <c r="U80" s="29">
        <f t="shared" si="7"/>
        <v>983.21301882078001</v>
      </c>
      <c r="V80" s="29">
        <f t="shared" si="7"/>
        <v>1357.7623660149575</v>
      </c>
      <c r="W80" s="29">
        <f t="shared" si="7"/>
        <v>1964.3949054581126</v>
      </c>
      <c r="X80" s="29">
        <f t="shared" si="7"/>
        <v>1020.3475058363811</v>
      </c>
      <c r="Z80" s="341">
        <v>45810</v>
      </c>
      <c r="AA80" s="341"/>
      <c r="AB80" s="106">
        <v>207</v>
      </c>
      <c r="AC80" s="106">
        <v>76.7</v>
      </c>
      <c r="AD80" s="106"/>
      <c r="AE80" s="107">
        <v>2.698826789855957</v>
      </c>
      <c r="AF80" s="108">
        <v>56.273963928222656</v>
      </c>
      <c r="AG80" s="106"/>
      <c r="AH80" s="106"/>
      <c r="AI80" s="106"/>
      <c r="AJ80" s="35">
        <v>55</v>
      </c>
      <c r="AK80" s="82">
        <v>18.420000000000002</v>
      </c>
      <c r="AL80" s="193">
        <v>19.89</v>
      </c>
      <c r="AM80" s="188">
        <v>20.63</v>
      </c>
      <c r="AN80" s="84">
        <v>20.76</v>
      </c>
      <c r="AO80" s="86">
        <v>22.26</v>
      </c>
    </row>
    <row r="81" spans="1:41" x14ac:dyDescent="0.3">
      <c r="A81" s="35">
        <v>56</v>
      </c>
      <c r="B81" s="242">
        <v>3.1372549533843994</v>
      </c>
      <c r="C81" s="246">
        <v>2.9015545845031738</v>
      </c>
      <c r="D81" s="247">
        <v>2.6415092945098877</v>
      </c>
      <c r="E81" s="225">
        <v>2.6365349292755127</v>
      </c>
      <c r="F81" s="225">
        <v>2.5974025726318359</v>
      </c>
      <c r="G81" s="225">
        <v>2.5770823955535889</v>
      </c>
      <c r="H81" s="225">
        <v>2.5711660385131836</v>
      </c>
      <c r="I81" s="225">
        <v>2.5547444820404053</v>
      </c>
      <c r="J81" s="225">
        <v>2.5500912666320801</v>
      </c>
      <c r="K81" s="225">
        <v>2.5282168388366699</v>
      </c>
      <c r="L81" s="35" t="s">
        <v>43</v>
      </c>
      <c r="M81" s="47">
        <v>2.7836465571</v>
      </c>
      <c r="N81" s="40" t="s">
        <v>318</v>
      </c>
      <c r="O81" s="140">
        <f>SUM(O48:O70)/86400</f>
        <v>1.5771446094559653E-2</v>
      </c>
      <c r="P81" s="140">
        <f>SUM(P48:P70)/86400</f>
        <v>2.1617533273890727E-2</v>
      </c>
      <c r="Q81" s="140">
        <f>SUM(Q48:Q70)/86400</f>
        <v>2.0753426020751777E-2</v>
      </c>
      <c r="R81" s="140">
        <f>SUM(R48:R70)/86400</f>
        <v>2.2480907096186425E-2</v>
      </c>
      <c r="S81" s="140">
        <f t="shared" ref="S81:X81" si="8">SUM(S48:S70)/86400</f>
        <v>2.447910514295364E-2</v>
      </c>
      <c r="T81" s="140">
        <f t="shared" si="8"/>
        <v>8.8681285414558917E-3</v>
      </c>
      <c r="U81" s="140">
        <f t="shared" si="8"/>
        <v>1.1379780310425695E-2</v>
      </c>
      <c r="V81" s="140">
        <f t="shared" si="8"/>
        <v>1.5714842199247191E-2</v>
      </c>
      <c r="W81" s="140">
        <f t="shared" si="8"/>
        <v>2.2736052146505932E-2</v>
      </c>
      <c r="X81" s="140">
        <f t="shared" si="8"/>
        <v>1.1809577613847003E-2</v>
      </c>
      <c r="Z81" s="341">
        <v>45809</v>
      </c>
      <c r="AA81" s="341"/>
      <c r="AB81" s="106">
        <v>149</v>
      </c>
      <c r="AC81" s="106">
        <v>64.17</v>
      </c>
      <c r="AD81" s="106"/>
      <c r="AE81" s="107">
        <v>2.3219573497772217</v>
      </c>
      <c r="AF81" s="108">
        <v>54.854351043701172</v>
      </c>
      <c r="AG81" s="106"/>
      <c r="AH81" s="106"/>
      <c r="AI81" s="106"/>
      <c r="AJ81" s="35">
        <v>56</v>
      </c>
      <c r="AK81" s="190">
        <v>17.850000000000001</v>
      </c>
      <c r="AL81" s="193">
        <v>19.3</v>
      </c>
      <c r="AM81" s="192">
        <v>21.2</v>
      </c>
      <c r="AN81" s="85">
        <v>21.24</v>
      </c>
      <c r="AO81" s="85">
        <v>21.56</v>
      </c>
    </row>
    <row r="82" spans="1:41" x14ac:dyDescent="0.3">
      <c r="A82" s="35">
        <v>57</v>
      </c>
      <c r="B82" s="223">
        <v>2.8715364933013916</v>
      </c>
      <c r="C82" s="246">
        <v>2.8372323513031006</v>
      </c>
      <c r="D82" s="247">
        <v>2.6975865364074707</v>
      </c>
      <c r="E82" s="225">
        <v>2.69631028175354</v>
      </c>
      <c r="F82" s="225">
        <v>2.6462395191192627</v>
      </c>
      <c r="G82" s="225">
        <v>2.6291513442993164</v>
      </c>
      <c r="H82" s="225">
        <v>2.5932667255401611</v>
      </c>
      <c r="I82" s="225">
        <v>2.58152174949646</v>
      </c>
      <c r="J82" s="225">
        <v>2.5065963268280029</v>
      </c>
      <c r="K82" s="239">
        <v>2.4967148303985596</v>
      </c>
      <c r="L82" s="35" t="s">
        <v>43</v>
      </c>
      <c r="M82" s="47">
        <v>2.940160525</v>
      </c>
      <c r="N82" s="40"/>
      <c r="O82" s="138">
        <f>O81</f>
        <v>1.5771446094559653E-2</v>
      </c>
      <c r="P82" s="138">
        <f>O82+P81</f>
        <v>3.7388979368450384E-2</v>
      </c>
      <c r="Q82" s="138">
        <f t="shared" ref="Q82:X82" si="9">P82+Q81</f>
        <v>5.8142405389202165E-2</v>
      </c>
      <c r="R82" s="138">
        <f t="shared" si="9"/>
        <v>8.0623312485388593E-2</v>
      </c>
      <c r="S82" s="138">
        <f t="shared" si="9"/>
        <v>0.10510241762834223</v>
      </c>
      <c r="T82" s="138">
        <f t="shared" si="9"/>
        <v>0.11397054616979813</v>
      </c>
      <c r="U82" s="138">
        <f t="shared" si="9"/>
        <v>0.12535032648022382</v>
      </c>
      <c r="V82" s="138">
        <f t="shared" si="9"/>
        <v>0.141065168679471</v>
      </c>
      <c r="W82" s="138">
        <f t="shared" si="9"/>
        <v>0.16380122082597692</v>
      </c>
      <c r="X82" s="138">
        <f t="shared" si="9"/>
        <v>0.17561079843982391</v>
      </c>
      <c r="Z82" s="341">
        <v>45809</v>
      </c>
      <c r="AA82" s="341"/>
      <c r="AB82" s="106">
        <v>159</v>
      </c>
      <c r="AC82" s="106">
        <v>65.09</v>
      </c>
      <c r="AD82" s="106"/>
      <c r="AE82" s="107">
        <v>2.4427716732025146</v>
      </c>
      <c r="AF82" s="108">
        <v>57.136306762695313</v>
      </c>
      <c r="AG82" s="106"/>
      <c r="AH82" s="106"/>
      <c r="AI82" s="106"/>
      <c r="AJ82" s="35">
        <v>57</v>
      </c>
      <c r="AK82" s="171">
        <v>19.850000000000001</v>
      </c>
      <c r="AL82" s="188">
        <v>20.09</v>
      </c>
      <c r="AM82" s="192">
        <v>21.13</v>
      </c>
      <c r="AN82" s="85">
        <v>21.14</v>
      </c>
      <c r="AO82" s="85">
        <v>21.54</v>
      </c>
    </row>
    <row r="83" spans="1:41" x14ac:dyDescent="0.3">
      <c r="A83" s="35">
        <v>58</v>
      </c>
      <c r="B83" s="246">
        <v>2.9989657402038574</v>
      </c>
      <c r="C83" s="236">
        <v>2.7306969165802002</v>
      </c>
      <c r="D83" s="236">
        <v>2.7052237987518311</v>
      </c>
      <c r="E83" s="225">
        <v>2.687673807144165</v>
      </c>
      <c r="F83" s="225">
        <v>2.6864287853240967</v>
      </c>
      <c r="G83" s="225">
        <v>2.5371828079223633</v>
      </c>
      <c r="H83" s="225">
        <v>2.5261325836181641</v>
      </c>
      <c r="I83" s="239">
        <v>2.4390242099761963</v>
      </c>
      <c r="J83" s="239">
        <v>2.4056408405303955</v>
      </c>
      <c r="K83" s="239">
        <v>2.3510336875915527</v>
      </c>
      <c r="L83" s="35" t="s">
        <v>43</v>
      </c>
      <c r="M83" s="47">
        <v>3.0786477472999998</v>
      </c>
      <c r="N83" s="47" t="s">
        <v>293</v>
      </c>
      <c r="O83" s="48" t="s">
        <v>286</v>
      </c>
      <c r="P83" s="48" t="s">
        <v>287</v>
      </c>
      <c r="Q83" s="48" t="s">
        <v>288</v>
      </c>
      <c r="R83" s="48" t="s">
        <v>289</v>
      </c>
      <c r="S83" s="48" t="s">
        <v>290</v>
      </c>
      <c r="T83" s="48" t="s">
        <v>291</v>
      </c>
      <c r="U83" s="48" t="s">
        <v>20</v>
      </c>
      <c r="V83" s="48" t="s">
        <v>21</v>
      </c>
      <c r="W83" s="48" t="s">
        <v>22</v>
      </c>
      <c r="X83" s="48" t="s">
        <v>23</v>
      </c>
      <c r="Z83" s="341">
        <v>45809</v>
      </c>
      <c r="AA83" s="341"/>
      <c r="AB83" s="106">
        <v>183</v>
      </c>
      <c r="AC83" s="106">
        <v>67.430000000000007</v>
      </c>
      <c r="AD83" s="106"/>
      <c r="AE83" s="107">
        <v>2.7139256000518799</v>
      </c>
      <c r="AF83" s="108">
        <v>61.928417205810547</v>
      </c>
      <c r="AG83" s="106"/>
      <c r="AH83" s="106"/>
      <c r="AI83" s="106"/>
      <c r="AJ83" s="35">
        <v>58</v>
      </c>
      <c r="AK83" s="193">
        <v>19.34</v>
      </c>
      <c r="AL83" s="85">
        <v>21.24</v>
      </c>
      <c r="AM83" s="85">
        <v>21.44</v>
      </c>
      <c r="AN83" s="85">
        <v>21.58</v>
      </c>
      <c r="AO83" s="85">
        <v>21.59</v>
      </c>
    </row>
    <row r="84" spans="1:41" x14ac:dyDescent="0.3">
      <c r="A84" s="35">
        <v>59</v>
      </c>
      <c r="B84" s="223">
        <v>2.8310940265655518</v>
      </c>
      <c r="C84" s="246">
        <v>2.7725563049316406</v>
      </c>
      <c r="D84" s="247">
        <v>2.7493011951446533</v>
      </c>
      <c r="E84" s="225">
        <v>2.7314815521240234</v>
      </c>
      <c r="F84" s="225">
        <v>2.7239151000976563</v>
      </c>
      <c r="G84" s="225">
        <v>2.7201473712921143</v>
      </c>
      <c r="H84" s="225">
        <v>2.7138915061950684</v>
      </c>
      <c r="I84" s="225">
        <v>2.6879270076751709</v>
      </c>
      <c r="J84" s="225">
        <v>2.6588551998138428</v>
      </c>
      <c r="K84" s="225">
        <v>2.6304056644439697</v>
      </c>
      <c r="L84" s="35" t="s">
        <v>43</v>
      </c>
      <c r="M84" s="47">
        <v>3.1965926244</v>
      </c>
      <c r="N84" s="35" t="s">
        <v>274</v>
      </c>
      <c r="O84" s="185">
        <v>52.380791450308408</v>
      </c>
      <c r="P84" s="175">
        <v>45.133472290794352</v>
      </c>
      <c r="Q84" s="175">
        <v>41.7896709054639</v>
      </c>
      <c r="R84" s="175">
        <v>39.116127150490151</v>
      </c>
      <c r="S84" s="174">
        <v>36.631544053329577</v>
      </c>
      <c r="T84" s="174">
        <v>35.840929481757108</v>
      </c>
      <c r="U84" s="174">
        <v>34.915478374774111</v>
      </c>
      <c r="V84" s="174">
        <v>33.34807868777245</v>
      </c>
      <c r="W84" s="174">
        <v>28.379963182360701</v>
      </c>
      <c r="X84" s="174">
        <v>27.198958748105881</v>
      </c>
      <c r="Z84" s="341">
        <v>45808</v>
      </c>
      <c r="AA84" s="341"/>
      <c r="AB84" s="106">
        <v>169</v>
      </c>
      <c r="AC84" s="106">
        <v>66.87</v>
      </c>
      <c r="AD84" s="106"/>
      <c r="AE84" s="107">
        <v>2.5272917747497559</v>
      </c>
      <c r="AF84" s="108">
        <v>58.007301330566406</v>
      </c>
      <c r="AG84" s="106"/>
      <c r="AH84" s="106"/>
      <c r="AI84" s="106"/>
      <c r="AJ84" s="35">
        <v>59</v>
      </c>
      <c r="AK84" s="84">
        <v>20.84</v>
      </c>
      <c r="AL84" s="192">
        <v>21.28</v>
      </c>
      <c r="AM84" s="192">
        <v>21.46</v>
      </c>
      <c r="AN84" s="85">
        <v>21.6</v>
      </c>
      <c r="AO84" s="85">
        <v>21.66</v>
      </c>
    </row>
    <row r="85" spans="1:41" x14ac:dyDescent="0.3">
      <c r="A85" s="35">
        <v>60</v>
      </c>
      <c r="B85" s="243">
        <v>3.2537961006164551</v>
      </c>
      <c r="C85" s="222">
        <v>3.0120482444763184</v>
      </c>
      <c r="D85" s="223">
        <v>2.9311187267303467</v>
      </c>
      <c r="E85" s="224">
        <v>2.8985505104064941</v>
      </c>
      <c r="F85" s="224">
        <v>2.7998132705688477</v>
      </c>
      <c r="G85" s="224">
        <v>2.7919962406158447</v>
      </c>
      <c r="H85" s="224">
        <v>2.7894003391265869</v>
      </c>
      <c r="I85" s="225">
        <v>2.7347309589385986</v>
      </c>
      <c r="J85" s="225">
        <v>2.6583962440490723</v>
      </c>
      <c r="K85" s="225">
        <v>2.6030368804931641</v>
      </c>
      <c r="L85" s="35" t="s">
        <v>43</v>
      </c>
      <c r="M85" s="47">
        <v>3.2917946007000003</v>
      </c>
      <c r="N85" s="135" t="s">
        <v>265</v>
      </c>
      <c r="O85" s="185">
        <v>50.524076639105587</v>
      </c>
      <c r="P85" s="175">
        <v>48.471025938069616</v>
      </c>
      <c r="Q85" s="175">
        <v>45.036988087553254</v>
      </c>
      <c r="R85" s="175">
        <v>43.233888522122918</v>
      </c>
      <c r="S85" s="175">
        <v>42.340333117854996</v>
      </c>
      <c r="T85" s="175">
        <v>41.519724069809058</v>
      </c>
      <c r="U85" s="175">
        <v>40.513782778531599</v>
      </c>
      <c r="V85" s="175">
        <v>40.0552355928846</v>
      </c>
      <c r="W85" s="175">
        <v>39.017585765547516</v>
      </c>
      <c r="X85" s="175">
        <v>38.643828105596377</v>
      </c>
      <c r="Z85" s="341">
        <v>45808</v>
      </c>
      <c r="AA85" s="341"/>
      <c r="AB85" s="106">
        <v>206</v>
      </c>
      <c r="AC85" s="106">
        <v>77.61</v>
      </c>
      <c r="AD85" s="106"/>
      <c r="AE85" s="107">
        <v>2.6542971134185791</v>
      </c>
      <c r="AF85" s="108">
        <v>54.890399932861328</v>
      </c>
      <c r="AG85" s="106"/>
      <c r="AH85" s="106"/>
      <c r="AI85" s="106"/>
      <c r="AJ85" s="35">
        <v>60</v>
      </c>
      <c r="AK85" s="194">
        <v>18.440000000000001</v>
      </c>
      <c r="AL85" s="171">
        <v>19.920000000000002</v>
      </c>
      <c r="AM85" s="84">
        <v>20.47</v>
      </c>
      <c r="AN85" s="84">
        <v>20.7</v>
      </c>
      <c r="AO85" s="85">
        <v>21.43</v>
      </c>
    </row>
    <row r="86" spans="1:41" x14ac:dyDescent="0.3">
      <c r="A86" s="35">
        <v>61</v>
      </c>
      <c r="B86" s="242">
        <v>3.1737773418426514</v>
      </c>
      <c r="C86" s="223">
        <v>2.8293135166168213</v>
      </c>
      <c r="D86" s="236">
        <v>2.6602704524993896</v>
      </c>
      <c r="E86" s="225">
        <v>2.6544821262359619</v>
      </c>
      <c r="F86" s="225">
        <v>2.6225278377532959</v>
      </c>
      <c r="G86" s="225">
        <v>2.5924351215362549</v>
      </c>
      <c r="H86" s="225">
        <v>2.565180778503418</v>
      </c>
      <c r="I86" s="225">
        <v>2.5154638290405273</v>
      </c>
      <c r="J86" s="239">
        <v>2.4429316520690918</v>
      </c>
      <c r="K86" s="239">
        <v>2.374464750289917</v>
      </c>
      <c r="L86" s="35" t="s">
        <v>43</v>
      </c>
      <c r="M86" s="47">
        <v>3.3627608885</v>
      </c>
      <c r="N86" s="135" t="s">
        <v>266</v>
      </c>
      <c r="O86" s="175">
        <v>42.089586811048697</v>
      </c>
      <c r="P86" s="175">
        <v>38.55264242354729</v>
      </c>
      <c r="Q86" s="174">
        <v>36.59174812543602</v>
      </c>
      <c r="R86" s="174">
        <v>35.100874944308579</v>
      </c>
      <c r="S86" s="174">
        <v>33.401001702086738</v>
      </c>
      <c r="T86" s="174">
        <v>32.577787835007143</v>
      </c>
      <c r="U86" s="174">
        <v>32.04990338364783</v>
      </c>
      <c r="V86" s="174">
        <v>31.258436958359784</v>
      </c>
      <c r="W86" s="174">
        <v>30.914359653433991</v>
      </c>
      <c r="X86" s="174">
        <v>30.199527773207699</v>
      </c>
      <c r="Z86" s="341">
        <v>45807</v>
      </c>
      <c r="AA86" s="341"/>
      <c r="AB86" s="106">
        <v>52</v>
      </c>
      <c r="AC86" s="106">
        <v>20.04</v>
      </c>
      <c r="AD86" s="106"/>
      <c r="AE86" s="107">
        <v>2.5948102474212646</v>
      </c>
      <c r="AF86" s="108">
        <v>51.557540893554688</v>
      </c>
      <c r="AG86" s="106"/>
      <c r="AH86" s="106"/>
      <c r="AI86" s="106"/>
      <c r="AJ86" s="35">
        <v>61</v>
      </c>
      <c r="AK86" s="193">
        <v>19.22</v>
      </c>
      <c r="AL86" s="85">
        <v>21.56</v>
      </c>
      <c r="AM86" s="86">
        <v>22.93</v>
      </c>
      <c r="AN86" s="86">
        <v>22.98</v>
      </c>
      <c r="AO86" s="86">
        <v>23.26</v>
      </c>
    </row>
    <row r="87" spans="1:41" x14ac:dyDescent="0.3">
      <c r="A87" s="35">
        <v>62</v>
      </c>
      <c r="B87" s="242">
        <v>3.0111703872680664</v>
      </c>
      <c r="C87" s="223">
        <v>2.9636712074279785</v>
      </c>
      <c r="D87" s="223">
        <v>2.8571426868438721</v>
      </c>
      <c r="E87" s="224">
        <v>2.8545119762420654</v>
      </c>
      <c r="F87" s="224">
        <v>2.8310503959655762</v>
      </c>
      <c r="G87" s="224">
        <v>2.7629232406616211</v>
      </c>
      <c r="H87" s="224">
        <v>2.758007287979126</v>
      </c>
      <c r="I87" s="224">
        <v>2.7567808628082275</v>
      </c>
      <c r="J87" s="225">
        <v>2.7252748012542725</v>
      </c>
      <c r="K87" s="225">
        <v>2.7204914093017578</v>
      </c>
      <c r="L87" s="35" t="s">
        <v>43</v>
      </c>
      <c r="M87" s="47">
        <v>3.4085678314000001</v>
      </c>
      <c r="N87" s="35" t="s">
        <v>267</v>
      </c>
      <c r="O87" s="211">
        <v>23.638075444266903</v>
      </c>
      <c r="P87" s="211">
        <v>19.030466779471922</v>
      </c>
      <c r="Q87" s="211">
        <v>13.013134174632645</v>
      </c>
      <c r="R87" s="196">
        <v>3.9734590737977942</v>
      </c>
      <c r="S87" s="196">
        <v>2.2495270741755502</v>
      </c>
      <c r="T87" s="45"/>
      <c r="U87" s="45"/>
      <c r="V87" s="45"/>
      <c r="W87" s="45"/>
      <c r="X87" s="45"/>
      <c r="Z87" s="341">
        <v>45807</v>
      </c>
      <c r="AA87" s="341"/>
      <c r="AB87" s="106">
        <v>166</v>
      </c>
      <c r="AC87" s="106">
        <v>63.62</v>
      </c>
      <c r="AD87" s="106"/>
      <c r="AE87" s="107">
        <v>2.6092424392700195</v>
      </c>
      <c r="AF87" s="108">
        <v>62.013771057128906</v>
      </c>
      <c r="AG87" s="106"/>
      <c r="AH87" s="106"/>
      <c r="AI87" s="106"/>
      <c r="AJ87" s="35">
        <v>62</v>
      </c>
      <c r="AK87" s="188">
        <v>20.59</v>
      </c>
      <c r="AL87" s="84">
        <v>20.92</v>
      </c>
      <c r="AM87" s="85">
        <v>21.7</v>
      </c>
      <c r="AN87" s="85">
        <v>21.72</v>
      </c>
      <c r="AO87" s="85">
        <v>21.9</v>
      </c>
    </row>
    <row r="88" spans="1:41" x14ac:dyDescent="0.3">
      <c r="A88" s="35">
        <v>63</v>
      </c>
      <c r="B88" s="246">
        <v>2.9112753868103027</v>
      </c>
      <c r="C88" s="246">
        <v>2.8251121044158936</v>
      </c>
      <c r="D88" s="223">
        <v>2.7999999523162842</v>
      </c>
      <c r="E88" s="225">
        <v>2.7415144443511963</v>
      </c>
      <c r="F88" s="225">
        <v>2.7225584983825684</v>
      </c>
      <c r="G88" s="225">
        <v>2.6992287635803223</v>
      </c>
      <c r="H88" s="225">
        <v>2.65486741065979</v>
      </c>
      <c r="I88" s="225">
        <v>2.6426174640655518</v>
      </c>
      <c r="J88" s="225">
        <v>2.5672371387481689</v>
      </c>
      <c r="K88" s="225">
        <v>2.5620169639587402</v>
      </c>
      <c r="L88" s="35" t="s">
        <v>43</v>
      </c>
      <c r="M88" s="47">
        <v>3.4288247010000004</v>
      </c>
      <c r="N88" s="16" t="s">
        <v>267</v>
      </c>
      <c r="O88" s="196">
        <v>6.7321763091973015</v>
      </c>
      <c r="P88" s="45"/>
      <c r="Q88" s="45"/>
      <c r="R88" s="45"/>
      <c r="S88" s="45"/>
      <c r="T88" s="45"/>
      <c r="U88" s="45"/>
      <c r="V88" s="45"/>
      <c r="W88" s="45"/>
      <c r="X88" s="45"/>
      <c r="Z88" s="331">
        <v>45810</v>
      </c>
      <c r="AA88" s="331"/>
      <c r="AB88" s="35">
        <v>23</v>
      </c>
      <c r="AC88" s="35">
        <v>6.31</v>
      </c>
      <c r="AD88" s="35"/>
      <c r="AE88" s="54"/>
      <c r="AF88" s="26"/>
      <c r="AG88" s="35"/>
      <c r="AH88" s="35"/>
      <c r="AI88" s="35"/>
      <c r="AJ88" s="35">
        <v>63</v>
      </c>
      <c r="AK88" s="192">
        <v>21.64</v>
      </c>
      <c r="AL88" s="200">
        <v>22.3</v>
      </c>
      <c r="AM88" s="86">
        <v>22.5</v>
      </c>
      <c r="AN88" s="86">
        <v>22.98</v>
      </c>
      <c r="AO88" s="86">
        <v>23.14</v>
      </c>
    </row>
    <row r="89" spans="1:41" x14ac:dyDescent="0.3">
      <c r="A89" s="35">
        <v>64</v>
      </c>
      <c r="B89" s="246">
        <v>2.8893904685974121</v>
      </c>
      <c r="C89" s="246">
        <v>2.864816427230835</v>
      </c>
      <c r="D89" s="246">
        <v>2.8596961498260498</v>
      </c>
      <c r="E89" s="224">
        <v>2.8193831443786621</v>
      </c>
      <c r="F89" s="224">
        <v>2.8131868839263916</v>
      </c>
      <c r="G89" s="224">
        <v>2.8033289909362793</v>
      </c>
      <c r="H89" s="224">
        <v>2.7681660652160645</v>
      </c>
      <c r="I89" s="225">
        <v>2.7444255352020264</v>
      </c>
      <c r="J89" s="225">
        <v>2.6567039489746094</v>
      </c>
      <c r="K89" s="225">
        <v>2.6468155384063721</v>
      </c>
      <c r="L89" s="35" t="s">
        <v>43</v>
      </c>
      <c r="M89" s="47">
        <v>3.4235629734000002</v>
      </c>
      <c r="N89" s="135" t="s">
        <v>259</v>
      </c>
      <c r="O89" s="185">
        <v>54.10387087003285</v>
      </c>
      <c r="P89" s="175">
        <v>39.296744173798452</v>
      </c>
      <c r="Q89" s="174">
        <v>26.157580995090772</v>
      </c>
      <c r="R89" s="174">
        <v>25.077632801681229</v>
      </c>
      <c r="S89" s="211">
        <v>24.554754549539524</v>
      </c>
      <c r="T89" s="211">
        <v>22.766596522871257</v>
      </c>
      <c r="U89" s="211">
        <v>19.122307408530148</v>
      </c>
      <c r="V89" s="211">
        <v>16.560094921345176</v>
      </c>
      <c r="W89" s="196">
        <v>7.2420846146844315</v>
      </c>
      <c r="X89" s="196">
        <v>7.1724139836178891</v>
      </c>
      <c r="Z89" s="331">
        <v>45810</v>
      </c>
      <c r="AA89" s="331"/>
      <c r="AB89" s="35">
        <v>56</v>
      </c>
      <c r="AC89" s="35">
        <v>21.2</v>
      </c>
      <c r="AD89" s="35"/>
      <c r="AE89" s="54"/>
      <c r="AF89" s="26"/>
      <c r="AG89" s="35"/>
      <c r="AH89" s="35"/>
      <c r="AI89" s="35"/>
      <c r="AJ89" s="35">
        <v>64</v>
      </c>
      <c r="AK89" s="200">
        <v>22.15</v>
      </c>
      <c r="AL89" s="200">
        <v>22.34</v>
      </c>
      <c r="AM89" s="200">
        <v>22.38</v>
      </c>
      <c r="AN89" s="86">
        <v>22.7</v>
      </c>
      <c r="AO89" s="86">
        <v>22.75</v>
      </c>
    </row>
    <row r="90" spans="1:41" x14ac:dyDescent="0.3">
      <c r="A90" s="35">
        <v>65</v>
      </c>
      <c r="B90" s="222">
        <v>3.1340405941009521</v>
      </c>
      <c r="C90" s="242">
        <v>3.1130268573760986</v>
      </c>
      <c r="D90" s="223">
        <v>2.9912564754486084</v>
      </c>
      <c r="E90" s="224">
        <v>2.9305679798126221</v>
      </c>
      <c r="F90" s="224">
        <v>2.9292473793029785</v>
      </c>
      <c r="G90" s="224">
        <v>2.9266097545623779</v>
      </c>
      <c r="H90" s="224">
        <v>2.897904634475708</v>
      </c>
      <c r="I90" s="224">
        <v>2.8837621212005615</v>
      </c>
      <c r="J90" s="224">
        <v>2.8697571754455566</v>
      </c>
      <c r="K90" s="224">
        <v>2.7694931030273438</v>
      </c>
      <c r="L90" s="35" t="s">
        <v>43</v>
      </c>
      <c r="M90" s="47">
        <v>3.3936546191999999</v>
      </c>
      <c r="N90" s="135" t="s">
        <v>272</v>
      </c>
      <c r="O90" s="179">
        <v>59.819002718989211</v>
      </c>
      <c r="P90" s="185">
        <v>52.75841909271935</v>
      </c>
      <c r="Q90" s="175">
        <v>49.099035560281919</v>
      </c>
      <c r="R90" s="175">
        <v>48.580414357715085</v>
      </c>
      <c r="S90" s="175">
        <v>46.915212435889885</v>
      </c>
      <c r="T90" s="175">
        <v>45.408285219945675</v>
      </c>
      <c r="U90" s="175">
        <v>44.314832918411774</v>
      </c>
      <c r="V90" s="175">
        <v>37.891324819442588</v>
      </c>
      <c r="W90" s="174">
        <v>26.411835297417866</v>
      </c>
      <c r="X90" s="174">
        <v>25.939300024498532</v>
      </c>
      <c r="Z90" s="331">
        <v>45810</v>
      </c>
      <c r="AA90" s="331"/>
      <c r="AB90" s="35">
        <v>66</v>
      </c>
      <c r="AC90" s="35">
        <v>22.95</v>
      </c>
      <c r="AD90" s="35"/>
      <c r="AE90" s="54"/>
      <c r="AF90" s="26"/>
      <c r="AG90" s="35"/>
      <c r="AH90" s="35"/>
      <c r="AI90" s="35"/>
      <c r="AJ90" s="35">
        <v>65</v>
      </c>
      <c r="AK90" s="84">
        <v>20.74</v>
      </c>
      <c r="AL90" s="188">
        <v>20.88</v>
      </c>
      <c r="AM90" s="85">
        <v>21.73</v>
      </c>
      <c r="AN90" s="86">
        <v>22.18</v>
      </c>
      <c r="AO90" s="86">
        <v>22.19</v>
      </c>
    </row>
    <row r="91" spans="1:41" x14ac:dyDescent="0.3">
      <c r="A91" s="35">
        <v>66</v>
      </c>
      <c r="B91" s="243">
        <v>3.2754342555999756</v>
      </c>
      <c r="C91" s="223">
        <v>2.9023747444152832</v>
      </c>
      <c r="D91" s="246">
        <v>2.875816822052002</v>
      </c>
      <c r="E91" s="224">
        <v>2.8169014453887939</v>
      </c>
      <c r="F91" s="224">
        <v>2.815699577331543</v>
      </c>
      <c r="G91" s="224">
        <v>2.7906978130340576</v>
      </c>
      <c r="H91" s="224">
        <v>2.7534418106079102</v>
      </c>
      <c r="I91" s="225">
        <v>2.7329192161560059</v>
      </c>
      <c r="J91" s="225">
        <v>2.7250206470489502</v>
      </c>
      <c r="K91" s="225">
        <v>2.6829268932342529</v>
      </c>
      <c r="L91" s="35" t="s">
        <v>43</v>
      </c>
      <c r="M91" s="47">
        <v>3.3402350400000005</v>
      </c>
      <c r="N91" s="135" t="s">
        <v>260</v>
      </c>
      <c r="O91" s="179">
        <v>60.346343987089035</v>
      </c>
      <c r="P91" s="185">
        <v>55.262144455962542</v>
      </c>
      <c r="Q91" s="185">
        <v>52.868377040744129</v>
      </c>
      <c r="R91" s="185">
        <v>51.8031186086018</v>
      </c>
      <c r="S91" s="185">
        <v>50.993274156192236</v>
      </c>
      <c r="T91" s="185">
        <v>50.08445385224335</v>
      </c>
      <c r="U91" s="175">
        <v>48.992066110617849</v>
      </c>
      <c r="V91" s="175">
        <v>48.256407142204587</v>
      </c>
      <c r="W91" s="175">
        <v>46.970429427465966</v>
      </c>
      <c r="X91" s="175">
        <v>45.574560054017212</v>
      </c>
      <c r="Z91" s="331">
        <v>45809</v>
      </c>
      <c r="AA91" s="331"/>
      <c r="AB91" s="35">
        <v>168</v>
      </c>
      <c r="AC91" s="35">
        <v>64.17</v>
      </c>
      <c r="AD91" s="35"/>
      <c r="AE91" s="54"/>
      <c r="AF91" s="26"/>
      <c r="AG91" s="35"/>
      <c r="AH91" s="35"/>
      <c r="AI91" s="35"/>
      <c r="AJ91" s="35">
        <v>66</v>
      </c>
      <c r="AK91" s="188">
        <v>20.149999999999999</v>
      </c>
      <c r="AL91" s="86">
        <v>22.74</v>
      </c>
      <c r="AM91" s="200">
        <v>22.95</v>
      </c>
      <c r="AN91" s="86">
        <v>23.43</v>
      </c>
      <c r="AO91" s="86">
        <v>23.44</v>
      </c>
    </row>
    <row r="92" spans="1:41" x14ac:dyDescent="0.3">
      <c r="A92" s="35">
        <v>67</v>
      </c>
      <c r="B92" s="242">
        <v>3.2196059226989746</v>
      </c>
      <c r="C92" s="242">
        <v>3.0044844150543213</v>
      </c>
      <c r="D92" s="246">
        <v>2.9054641723632813</v>
      </c>
      <c r="E92" s="224">
        <v>2.8954193592071533</v>
      </c>
      <c r="F92" s="224">
        <v>2.8792436122894287</v>
      </c>
      <c r="G92" s="224">
        <v>2.8474287986755371</v>
      </c>
      <c r="H92" s="224">
        <v>2.7789299488067627</v>
      </c>
      <c r="I92" s="224">
        <v>2.7549343109130859</v>
      </c>
      <c r="J92" s="225">
        <v>2.7425296306610107</v>
      </c>
      <c r="K92" s="225">
        <v>2.7136492729187012</v>
      </c>
      <c r="L92" s="35" t="s">
        <v>43</v>
      </c>
      <c r="M92" s="47">
        <v>3.2649874846000002</v>
      </c>
      <c r="N92" s="135" t="s">
        <v>261</v>
      </c>
      <c r="O92" s="185">
        <v>55.750509723990142</v>
      </c>
      <c r="P92" s="185">
        <v>50.63133839398791</v>
      </c>
      <c r="Q92" s="175">
        <v>48.301615533995253</v>
      </c>
      <c r="R92" s="175">
        <v>46.60204707555252</v>
      </c>
      <c r="S92" s="175">
        <v>44.361110748565622</v>
      </c>
      <c r="T92" s="175">
        <v>43.058324034076989</v>
      </c>
      <c r="U92" s="174">
        <v>35.325603960792968</v>
      </c>
      <c r="V92" s="174">
        <v>33.604342677491459</v>
      </c>
      <c r="W92" s="211">
        <v>18.063622491126221</v>
      </c>
      <c r="X92" s="211">
        <v>12.852867098073357</v>
      </c>
      <c r="Z92" s="331">
        <v>45808</v>
      </c>
      <c r="AA92" s="331"/>
      <c r="AB92" s="35">
        <v>156</v>
      </c>
      <c r="AC92" s="35">
        <v>68.47</v>
      </c>
      <c r="AD92" s="35"/>
      <c r="AE92" s="54"/>
      <c r="AF92" s="26"/>
      <c r="AG92" s="35"/>
      <c r="AH92" s="35"/>
      <c r="AI92" s="35"/>
      <c r="AJ92" s="35">
        <v>67</v>
      </c>
      <c r="AK92" s="188">
        <v>20.81</v>
      </c>
      <c r="AL92" s="200">
        <v>22.3</v>
      </c>
      <c r="AM92" s="200">
        <v>23.06</v>
      </c>
      <c r="AN92" s="86">
        <v>23.14</v>
      </c>
      <c r="AO92" s="86">
        <v>23.27</v>
      </c>
    </row>
    <row r="93" spans="1:41" x14ac:dyDescent="0.3">
      <c r="A93" s="35">
        <v>68</v>
      </c>
      <c r="B93" s="242">
        <v>3.0811057090759277</v>
      </c>
      <c r="C93" s="223">
        <v>2.8862478733062744</v>
      </c>
      <c r="D93" s="246">
        <v>2.8789160251617432</v>
      </c>
      <c r="E93" s="224">
        <v>2.8776979446411133</v>
      </c>
      <c r="F93" s="224">
        <v>2.8595457077026367</v>
      </c>
      <c r="G93" s="224">
        <v>2.8262677192687988</v>
      </c>
      <c r="H93" s="225">
        <v>2.7430415153503418</v>
      </c>
      <c r="I93" s="225">
        <v>2.7298274040222168</v>
      </c>
      <c r="J93" s="225">
        <v>2.7210884094238281</v>
      </c>
      <c r="K93" s="225">
        <v>2.6346378326416016</v>
      </c>
      <c r="L93" s="35" t="s">
        <v>43</v>
      </c>
      <c r="M93" s="47">
        <v>3.1699617460000002</v>
      </c>
      <c r="N93" s="135" t="s">
        <v>262</v>
      </c>
      <c r="O93" s="175">
        <v>42.704716235969009</v>
      </c>
      <c r="P93" s="175">
        <v>37.899751257891261</v>
      </c>
      <c r="Q93" s="174">
        <v>35.468259471719158</v>
      </c>
      <c r="R93" s="174">
        <v>30.299270244015592</v>
      </c>
      <c r="S93" s="211">
        <v>15.620601174789353</v>
      </c>
      <c r="T93" s="196">
        <v>11.691524025890223</v>
      </c>
      <c r="U93" s="196">
        <v>4.1581708640009643</v>
      </c>
      <c r="V93" s="196">
        <v>1.3478864273263931</v>
      </c>
      <c r="W93" s="196">
        <v>1.317968587469873</v>
      </c>
      <c r="X93" s="196">
        <v>1.1818801190489432</v>
      </c>
      <c r="Z93" s="331">
        <v>45807</v>
      </c>
      <c r="AA93" s="331"/>
      <c r="AB93" s="35">
        <v>166</v>
      </c>
      <c r="AC93" s="35">
        <v>64.900000000000006</v>
      </c>
      <c r="AD93" s="35"/>
      <c r="AE93" s="54"/>
      <c r="AF93" s="26"/>
      <c r="AG93" s="35"/>
      <c r="AH93" s="35"/>
      <c r="AI93" s="35"/>
      <c r="AJ93" s="35">
        <v>68</v>
      </c>
      <c r="AK93" s="200">
        <v>22.07</v>
      </c>
      <c r="AL93" s="86">
        <v>23.56</v>
      </c>
      <c r="AM93" s="200">
        <v>23.62</v>
      </c>
      <c r="AN93" s="86">
        <v>23.63</v>
      </c>
      <c r="AO93" s="86">
        <v>23.78</v>
      </c>
    </row>
    <row r="94" spans="1:41" x14ac:dyDescent="0.3">
      <c r="A94" s="35">
        <v>69</v>
      </c>
      <c r="B94" s="222">
        <v>3.1622364521026611</v>
      </c>
      <c r="C94" s="242">
        <v>3.1406464576721191</v>
      </c>
      <c r="D94" s="222">
        <v>3.0210156440734863</v>
      </c>
      <c r="E94" s="224">
        <v>2.9487180709838867</v>
      </c>
      <c r="F94" s="224">
        <v>2.8991596698760986</v>
      </c>
      <c r="G94" s="224">
        <v>2.8313498497009277</v>
      </c>
      <c r="H94" s="224">
        <v>2.8014616966247559</v>
      </c>
      <c r="I94" s="224">
        <v>2.7699718475341797</v>
      </c>
      <c r="J94" s="225">
        <v>2.7305104732513428</v>
      </c>
      <c r="K94" s="225">
        <v>2.653846263885498</v>
      </c>
      <c r="L94" s="35" t="s">
        <v>43</v>
      </c>
      <c r="M94" s="47">
        <v>3.0573425157999998</v>
      </c>
      <c r="N94" s="16" t="s">
        <v>263</v>
      </c>
      <c r="O94" s="174">
        <v>30.725485024279191</v>
      </c>
      <c r="P94" s="211">
        <v>13.842025969679012</v>
      </c>
      <c r="Q94" s="196">
        <v>4.0057655843434432</v>
      </c>
      <c r="R94" s="196">
        <v>3.7515194851896312</v>
      </c>
      <c r="S94" s="196"/>
      <c r="T94" s="45"/>
      <c r="U94" s="45"/>
      <c r="V94" s="45"/>
      <c r="W94" s="45"/>
      <c r="X94" s="45"/>
      <c r="Z94" s="331">
        <v>45806</v>
      </c>
      <c r="AA94" s="331"/>
      <c r="AB94" s="35">
        <v>50</v>
      </c>
      <c r="AC94" s="35">
        <v>20.72</v>
      </c>
      <c r="AD94" s="35"/>
      <c r="AE94" s="54"/>
      <c r="AF94" s="26"/>
      <c r="AG94" s="35"/>
      <c r="AH94" s="35"/>
      <c r="AI94" s="35"/>
      <c r="AJ94" s="35">
        <v>69</v>
      </c>
      <c r="AK94" s="85">
        <v>21.82</v>
      </c>
      <c r="AL94" s="192">
        <v>21.97</v>
      </c>
      <c r="AM94" s="86">
        <v>22.84</v>
      </c>
      <c r="AN94" s="86">
        <v>23.4</v>
      </c>
      <c r="AO94" s="86">
        <v>23.8</v>
      </c>
    </row>
    <row r="95" spans="1:41" x14ac:dyDescent="0.3">
      <c r="A95" s="35">
        <v>70</v>
      </c>
      <c r="B95" s="242">
        <v>3.1731641292572021</v>
      </c>
      <c r="C95" s="223">
        <v>2.8101165294647217</v>
      </c>
      <c r="D95" s="246">
        <v>2.7689871788024902</v>
      </c>
      <c r="E95" s="225">
        <v>2.6656510829925537</v>
      </c>
      <c r="F95" s="225">
        <v>2.5725836753845215</v>
      </c>
      <c r="G95" s="225">
        <v>2.5482344627380371</v>
      </c>
      <c r="H95" s="239">
        <v>2.4526979923248291</v>
      </c>
      <c r="I95" s="239">
        <v>2.3217246532440186</v>
      </c>
      <c r="J95" s="237">
        <v>2.0384390354156494</v>
      </c>
      <c r="K95" s="237"/>
      <c r="L95" s="35" t="s">
        <v>43</v>
      </c>
      <c r="M95" s="47">
        <v>2.9297545869000001</v>
      </c>
      <c r="N95" s="16" t="s">
        <v>264</v>
      </c>
      <c r="O95" s="196">
        <v>11.933478192086557</v>
      </c>
      <c r="P95" s="196">
        <v>1.7041550451999963</v>
      </c>
      <c r="Q95" s="45"/>
      <c r="R95" s="45"/>
      <c r="S95" s="45"/>
      <c r="T95" s="45"/>
      <c r="U95" s="45"/>
      <c r="V95" s="45"/>
      <c r="W95" s="45"/>
      <c r="X95" s="45"/>
      <c r="Z95" s="331">
        <v>45806</v>
      </c>
      <c r="AA95" s="331"/>
      <c r="AB95" s="35">
        <v>167</v>
      </c>
      <c r="AC95" s="35">
        <v>66.78</v>
      </c>
      <c r="AD95" s="35"/>
      <c r="AE95" s="54"/>
      <c r="AF95" s="26"/>
      <c r="AG95" s="35"/>
      <c r="AH95" s="35"/>
      <c r="AI95" s="35"/>
      <c r="AJ95" s="35">
        <v>70</v>
      </c>
      <c r="AK95" s="200">
        <v>22.06</v>
      </c>
      <c r="AL95" s="87">
        <v>24.91</v>
      </c>
      <c r="AM95" s="209">
        <v>25.28</v>
      </c>
      <c r="AN95" s="88">
        <v>26.26</v>
      </c>
      <c r="AO95" s="88">
        <v>27.21</v>
      </c>
    </row>
    <row r="96" spans="1:41" x14ac:dyDescent="0.3">
      <c r="A96" s="35">
        <v>71</v>
      </c>
      <c r="B96" s="242">
        <v>3.1724755764007568</v>
      </c>
      <c r="C96" s="242">
        <v>3.1682283878326416</v>
      </c>
      <c r="D96" s="242">
        <v>3.0590264797210693</v>
      </c>
      <c r="E96" s="224">
        <v>2.988215446472168</v>
      </c>
      <c r="F96" s="224">
        <v>2.8698463439941406</v>
      </c>
      <c r="G96" s="224">
        <v>2.8152260780334473</v>
      </c>
      <c r="H96" s="224">
        <v>2.7886881828308105</v>
      </c>
      <c r="I96" s="225">
        <v>2.7391974925994873</v>
      </c>
      <c r="J96" s="225">
        <v>2.7171833515167236</v>
      </c>
      <c r="K96" s="225">
        <v>2.663165807723999</v>
      </c>
      <c r="L96" s="35" t="s">
        <v>43</v>
      </c>
      <c r="M96" s="47">
        <v>2.7897899986999999</v>
      </c>
      <c r="N96" s="14" t="s">
        <v>273</v>
      </c>
      <c r="O96" s="196">
        <v>9.839335908957576</v>
      </c>
      <c r="P96" s="196">
        <v>1.5393562491885613</v>
      </c>
      <c r="Q96" s="45"/>
      <c r="R96" s="45"/>
      <c r="S96" s="45"/>
      <c r="T96" s="45"/>
      <c r="U96" s="45"/>
      <c r="V96" s="45"/>
      <c r="W96" s="45"/>
      <c r="X96" s="45"/>
      <c r="Z96" s="331">
        <v>45805</v>
      </c>
      <c r="AA96" s="331"/>
      <c r="AB96" s="35">
        <v>24</v>
      </c>
      <c r="AC96" s="35">
        <v>6.19</v>
      </c>
      <c r="AD96" s="35"/>
      <c r="AE96" s="54"/>
      <c r="AF96" s="26"/>
      <c r="AG96" s="35"/>
      <c r="AH96" s="35"/>
      <c r="AI96" s="35"/>
      <c r="AJ96" s="35">
        <v>71</v>
      </c>
      <c r="AK96" s="200">
        <v>22.38</v>
      </c>
      <c r="AL96" s="200">
        <v>22.41</v>
      </c>
      <c r="AM96" s="200">
        <v>23.21</v>
      </c>
      <c r="AN96" s="86">
        <v>23.76</v>
      </c>
      <c r="AO96" s="87">
        <v>24.74</v>
      </c>
    </row>
    <row r="97" spans="1:41" x14ac:dyDescent="0.3">
      <c r="A97" s="35">
        <v>72</v>
      </c>
      <c r="B97" s="226">
        <v>3.3240997791290283</v>
      </c>
      <c r="C97" s="223">
        <v>2.917341947555542</v>
      </c>
      <c r="D97" s="223">
        <v>2.8313016891479492</v>
      </c>
      <c r="E97" s="225">
        <v>2.7459955215454102</v>
      </c>
      <c r="F97" s="225">
        <v>2.6578073501586914</v>
      </c>
      <c r="G97" s="225">
        <v>2.6529109477996826</v>
      </c>
      <c r="H97" s="225">
        <v>2.6325411796569824</v>
      </c>
      <c r="I97" s="225">
        <v>2.6219956874847412</v>
      </c>
      <c r="J97" s="225">
        <v>2.6134302616119385</v>
      </c>
      <c r="K97" s="225">
        <v>2.5843503475189209</v>
      </c>
      <c r="L97" s="35" t="s">
        <v>43</v>
      </c>
      <c r="M97" s="47">
        <v>2.6400992484999999</v>
      </c>
      <c r="N97" s="14" t="s">
        <v>268</v>
      </c>
      <c r="O97" s="175">
        <v>39.722752029772437</v>
      </c>
      <c r="P97" s="211">
        <v>20.816352471570006</v>
      </c>
      <c r="Q97" s="196">
        <v>2.0881524866041397</v>
      </c>
      <c r="R97" s="196">
        <v>2.0733675989471161</v>
      </c>
      <c r="S97" s="196">
        <v>2.0587478006644355</v>
      </c>
      <c r="T97" s="45"/>
      <c r="U97" s="45"/>
      <c r="V97" s="45"/>
      <c r="W97" s="45"/>
      <c r="X97" s="4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v>72</v>
      </c>
      <c r="AK97" s="85">
        <v>21.66</v>
      </c>
      <c r="AL97" s="87">
        <v>24.68</v>
      </c>
      <c r="AM97" s="87">
        <v>25.43</v>
      </c>
      <c r="AN97" s="88">
        <v>26.22</v>
      </c>
      <c r="AO97" s="88">
        <v>27.09</v>
      </c>
    </row>
    <row r="98" spans="1:41" x14ac:dyDescent="0.3">
      <c r="A98" s="35">
        <v>73</v>
      </c>
      <c r="B98" s="242">
        <v>3.009068489074707</v>
      </c>
      <c r="C98" s="223">
        <v>2.9153354167938232</v>
      </c>
      <c r="D98" s="223">
        <v>2.8131020069122314</v>
      </c>
      <c r="E98" s="224">
        <v>2.7735562324523926</v>
      </c>
      <c r="F98" s="224">
        <v>2.7641046047210693</v>
      </c>
      <c r="G98" s="225">
        <v>2.6516525745391846</v>
      </c>
      <c r="H98" s="239">
        <v>2.4804620742797852</v>
      </c>
      <c r="I98" s="239">
        <v>2.4292845726013184</v>
      </c>
      <c r="J98" s="238"/>
      <c r="K98" s="238"/>
      <c r="L98" s="35" t="s">
        <v>43</v>
      </c>
      <c r="M98" s="47">
        <v>2.4833128898000001</v>
      </c>
      <c r="N98" s="14" t="s">
        <v>269</v>
      </c>
      <c r="O98" s="179">
        <v>58.448864082587988</v>
      </c>
      <c r="P98" s="175">
        <v>46.091512443474457</v>
      </c>
      <c r="Q98" s="175">
        <v>38.091109568870117</v>
      </c>
      <c r="R98" s="174">
        <v>31.285595429136276</v>
      </c>
      <c r="S98" s="174">
        <v>25.318018379330908</v>
      </c>
      <c r="T98" s="211">
        <v>18.769280257544036</v>
      </c>
      <c r="U98" s="196">
        <v>7.7489659621882376</v>
      </c>
      <c r="V98" s="196">
        <v>7.6803244197401028</v>
      </c>
      <c r="W98" s="196">
        <v>4.1437420244940926</v>
      </c>
      <c r="X98" s="196"/>
      <c r="Z98" s="109"/>
      <c r="AA98" s="328" t="str">
        <f>N25</f>
        <v>初级</v>
      </c>
      <c r="AB98" s="328"/>
      <c r="AC98" s="328"/>
      <c r="AD98" s="328" t="str">
        <f>N26</f>
        <v>中级</v>
      </c>
      <c r="AE98" s="328"/>
      <c r="AF98" s="328"/>
      <c r="AG98" s="328" t="str">
        <f>N27</f>
        <v>高级</v>
      </c>
      <c r="AH98" s="328"/>
      <c r="AI98" s="328"/>
      <c r="AJ98" s="35">
        <v>73</v>
      </c>
      <c r="AK98" s="209">
        <v>24.26</v>
      </c>
      <c r="AL98" s="87">
        <v>25.04</v>
      </c>
      <c r="AM98" s="87">
        <v>25.95</v>
      </c>
      <c r="AN98" s="88">
        <v>26.32</v>
      </c>
      <c r="AO98" s="88">
        <v>26.41</v>
      </c>
    </row>
    <row r="99" spans="1:41" x14ac:dyDescent="0.3">
      <c r="A99" s="35">
        <v>74</v>
      </c>
      <c r="B99" s="222">
        <v>3.0303030014038086</v>
      </c>
      <c r="C99" s="246">
        <v>2.9505581855773926</v>
      </c>
      <c r="D99" s="223">
        <v>2.873786449432373</v>
      </c>
      <c r="E99" s="224">
        <v>2.8715560436248779</v>
      </c>
      <c r="F99" s="224">
        <v>2.8222732543945313</v>
      </c>
      <c r="G99" s="224">
        <v>2.8190476894378662</v>
      </c>
      <c r="H99" s="224">
        <v>2.7924528121948242</v>
      </c>
      <c r="I99" s="225">
        <v>2.7468447685241699</v>
      </c>
      <c r="J99" s="225">
        <v>2.7286133766174316</v>
      </c>
      <c r="K99" s="225">
        <v>2.6831037998199463</v>
      </c>
      <c r="L99" s="35" t="s">
        <v>43</v>
      </c>
      <c r="M99" s="47">
        <v>2.3219960013000001</v>
      </c>
      <c r="N99" s="135" t="s">
        <v>270</v>
      </c>
      <c r="O99" s="179">
        <v>59.351955910408535</v>
      </c>
      <c r="P99" s="185">
        <v>55.339802631870946</v>
      </c>
      <c r="Q99" s="185">
        <v>52.969365144080037</v>
      </c>
      <c r="R99" s="185">
        <v>50.315075816749825</v>
      </c>
      <c r="S99" s="175">
        <v>48.167902540184862</v>
      </c>
      <c r="T99" s="175">
        <v>41.997850387564959</v>
      </c>
      <c r="U99" s="174">
        <v>34.896529315009069</v>
      </c>
      <c r="V99" s="174">
        <v>33.952239084112918</v>
      </c>
      <c r="W99" s="174">
        <v>25.947135400886211</v>
      </c>
      <c r="X99" s="211">
        <v>14.384377595569909</v>
      </c>
      <c r="Z99" s="35" t="s">
        <v>16</v>
      </c>
      <c r="AA99" s="2">
        <f t="shared" ref="AA99:AA104" si="10">COUNTIFS($B$2:$B$54,"&gt;0",$L$2:$L$54,$Z99)</f>
        <v>22</v>
      </c>
      <c r="AB99" s="2">
        <v>22</v>
      </c>
      <c r="AC99" s="12" t="str">
        <f>IF(AA99=AB99,"√","")</f>
        <v>√</v>
      </c>
      <c r="AD99" s="2">
        <f t="shared" ref="AD99:AD105" si="11">COUNTIFS($B$55:$B$167,"&gt;0",$L$55:$L$167,$Z99)</f>
        <v>36</v>
      </c>
      <c r="AE99" s="12">
        <v>36</v>
      </c>
      <c r="AF99" s="12" t="str">
        <f>IF(AD99=AE99,"√","")</f>
        <v>√</v>
      </c>
      <c r="AG99" s="2">
        <f t="shared" ref="AG99:AG105" si="12">COUNTIFS($B$242:$B$430,"&gt;0",$L$242:$L$430,$Z99)</f>
        <v>47</v>
      </c>
      <c r="AH99" s="12">
        <v>47</v>
      </c>
      <c r="AI99" s="12" t="str">
        <f>IF(AG99=AH99,"√","")</f>
        <v>√</v>
      </c>
      <c r="AJ99" s="35">
        <v>74</v>
      </c>
      <c r="AK99" s="87">
        <v>24.42</v>
      </c>
      <c r="AL99" s="209">
        <v>25.08</v>
      </c>
      <c r="AM99" s="87">
        <v>25.75</v>
      </c>
      <c r="AN99" s="87">
        <v>25.77</v>
      </c>
      <c r="AO99" s="88">
        <v>26.22</v>
      </c>
    </row>
    <row r="100" spans="1:41" x14ac:dyDescent="0.3">
      <c r="A100" s="35">
        <v>75</v>
      </c>
      <c r="B100" s="242">
        <v>3.2244195938110352</v>
      </c>
      <c r="C100" s="242">
        <v>3.0193235874176025</v>
      </c>
      <c r="D100" s="246">
        <v>2.9620852470397949</v>
      </c>
      <c r="E100" s="224">
        <v>2.8790788650512695</v>
      </c>
      <c r="F100" s="225">
        <v>2.5942580699920654</v>
      </c>
      <c r="G100" s="225">
        <v>2.5737817287445068</v>
      </c>
      <c r="H100" s="225">
        <v>2.5423729419708252</v>
      </c>
      <c r="I100" s="239">
        <v>2.3599748611450195</v>
      </c>
      <c r="J100" s="238"/>
      <c r="K100" s="284"/>
      <c r="L100" s="35" t="s">
        <v>43</v>
      </c>
      <c r="M100" s="47">
        <v>2.1585743208999997</v>
      </c>
      <c r="N100" s="135" t="s">
        <v>271</v>
      </c>
      <c r="O100" s="179">
        <v>61.792932084105608</v>
      </c>
      <c r="P100" s="179">
        <v>58.885724917620102</v>
      </c>
      <c r="Q100" s="179">
        <v>57.102526981930296</v>
      </c>
      <c r="R100" s="185">
        <v>53.460803495527145</v>
      </c>
      <c r="S100" s="185">
        <v>51.767254102504182</v>
      </c>
      <c r="T100" s="175">
        <v>49.527417180141782</v>
      </c>
      <c r="U100" s="175">
        <v>40.237892254505297</v>
      </c>
      <c r="V100" s="174">
        <v>27.27227479712208</v>
      </c>
      <c r="W100" s="174">
        <v>25.647106156046391</v>
      </c>
      <c r="X100" s="211">
        <v>24.8917034359235</v>
      </c>
      <c r="Z100" s="16" t="s">
        <v>1</v>
      </c>
      <c r="AA100" s="2">
        <f t="shared" si="10"/>
        <v>9</v>
      </c>
      <c r="AB100" s="2">
        <v>9</v>
      </c>
      <c r="AC100" s="12" t="str">
        <f t="shared" ref="AC100:AC104" si="13">IF(AA100=AB100,"√","")</f>
        <v>√</v>
      </c>
      <c r="AD100" s="2">
        <f t="shared" si="11"/>
        <v>19</v>
      </c>
      <c r="AE100" s="12">
        <v>26</v>
      </c>
      <c r="AF100" s="12" t="str">
        <f t="shared" ref="AF100:AF105" si="14">IF(AD100=AE100,"√","")</f>
        <v/>
      </c>
      <c r="AG100" s="2">
        <f t="shared" si="12"/>
        <v>38</v>
      </c>
      <c r="AH100" s="12">
        <v>48</v>
      </c>
      <c r="AI100" s="12" t="str">
        <f t="shared" ref="AI100:AI105" si="15">IF(AG100=AH100,"√","")</f>
        <v/>
      </c>
      <c r="AJ100" s="35">
        <v>75</v>
      </c>
      <c r="AK100" s="200">
        <v>23.26</v>
      </c>
      <c r="AL100" s="209">
        <v>24.84</v>
      </c>
      <c r="AM100" s="209">
        <v>25.32</v>
      </c>
      <c r="AN100" s="88">
        <v>26.05</v>
      </c>
      <c r="AO100" s="168">
        <v>28.91</v>
      </c>
    </row>
    <row r="101" spans="1:41" x14ac:dyDescent="0.3">
      <c r="A101" s="35">
        <v>76</v>
      </c>
      <c r="B101" s="223">
        <v>2.9675908088684082</v>
      </c>
      <c r="C101" s="223">
        <v>2.9185867309570313</v>
      </c>
      <c r="D101" s="223">
        <v>2.8722600936889648</v>
      </c>
      <c r="E101" s="224">
        <v>2.8539242744445801</v>
      </c>
      <c r="F101" s="224">
        <v>2.8389987945556641</v>
      </c>
      <c r="G101" s="225">
        <v>2.6969480514526367</v>
      </c>
      <c r="L101" s="35" t="s">
        <v>43</v>
      </c>
      <c r="M101" s="47">
        <v>1.9951766736000001</v>
      </c>
      <c r="N101" s="135" t="s">
        <v>253</v>
      </c>
      <c r="O101" s="177">
        <v>64.064990939627563</v>
      </c>
      <c r="P101" s="179">
        <v>60.622130907336064</v>
      </c>
      <c r="Q101" s="179">
        <v>57.731148671173777</v>
      </c>
      <c r="R101" s="179">
        <v>56.666641982075248</v>
      </c>
      <c r="S101" s="185">
        <v>55.083829915108979</v>
      </c>
      <c r="T101" s="185">
        <v>53.338008584627502</v>
      </c>
      <c r="U101" s="185">
        <v>52.091413869137938</v>
      </c>
      <c r="V101" s="185">
        <v>50.577603131616527</v>
      </c>
      <c r="W101" s="175">
        <v>48.843331806666164</v>
      </c>
      <c r="X101" s="174">
        <v>33.375796846938151</v>
      </c>
      <c r="Z101" s="15" t="s">
        <v>18</v>
      </c>
      <c r="AA101" s="2">
        <f t="shared" si="10"/>
        <v>3</v>
      </c>
      <c r="AB101" s="2">
        <v>8</v>
      </c>
      <c r="AC101" s="12" t="str">
        <f t="shared" si="13"/>
        <v/>
      </c>
      <c r="AD101" s="2">
        <f t="shared" si="11"/>
        <v>6</v>
      </c>
      <c r="AE101" s="12">
        <v>18</v>
      </c>
      <c r="AF101" s="12" t="str">
        <f t="shared" si="14"/>
        <v/>
      </c>
      <c r="AG101" s="2">
        <f t="shared" si="12"/>
        <v>8</v>
      </c>
      <c r="AH101" s="12">
        <v>31</v>
      </c>
      <c r="AI101" s="12" t="str">
        <f t="shared" si="15"/>
        <v/>
      </c>
      <c r="AJ101" s="35">
        <v>76</v>
      </c>
      <c r="AK101" s="87">
        <v>25.61</v>
      </c>
      <c r="AL101" s="88">
        <v>26.04</v>
      </c>
      <c r="AM101" s="88">
        <v>26.46</v>
      </c>
      <c r="AN101" s="88">
        <v>26.63</v>
      </c>
      <c r="AO101" s="88">
        <v>26.77</v>
      </c>
    </row>
    <row r="102" spans="1:41" x14ac:dyDescent="0.3">
      <c r="A102" s="35">
        <v>77</v>
      </c>
      <c r="B102" s="222">
        <v>3.1609194278717041</v>
      </c>
      <c r="C102" s="222">
        <v>3.0973451137542725</v>
      </c>
      <c r="D102" s="242">
        <v>3.0125195980072021</v>
      </c>
      <c r="E102" s="224">
        <v>2.9547200202941895</v>
      </c>
      <c r="F102" s="224">
        <v>2.9423003196716309</v>
      </c>
      <c r="G102" s="224">
        <v>2.9288702011108398</v>
      </c>
      <c r="H102" s="224">
        <v>2.8635179996490479</v>
      </c>
      <c r="I102" s="225">
        <v>2.6970229148864746</v>
      </c>
      <c r="J102" s="225">
        <v>2.6451389789581299</v>
      </c>
      <c r="K102" s="225">
        <v>2.5122349262237549</v>
      </c>
      <c r="L102" s="35" t="s">
        <v>43</v>
      </c>
      <c r="M102" s="47">
        <v>1.8339110023</v>
      </c>
      <c r="N102" s="135" t="s">
        <v>254</v>
      </c>
      <c r="O102" s="179">
        <v>60.150872202417489</v>
      </c>
      <c r="P102" s="179">
        <v>56.88326313071191</v>
      </c>
      <c r="Q102" s="185">
        <v>53.983752594892721</v>
      </c>
      <c r="R102" s="185">
        <v>51.223939493011052</v>
      </c>
      <c r="S102" s="174">
        <v>30.626065478028977</v>
      </c>
      <c r="T102" s="211">
        <v>23.666385177627792</v>
      </c>
      <c r="U102" s="211">
        <v>23.089785716738039</v>
      </c>
      <c r="V102" s="196">
        <v>11.854472229198413</v>
      </c>
      <c r="W102" s="196">
        <v>7.1811325533151846</v>
      </c>
      <c r="X102" s="196">
        <v>7.0516549324968407</v>
      </c>
      <c r="Z102" s="14" t="s">
        <v>17</v>
      </c>
      <c r="AA102" s="2">
        <f t="shared" si="10"/>
        <v>0</v>
      </c>
      <c r="AB102" s="2">
        <v>6</v>
      </c>
      <c r="AC102" s="12" t="str">
        <f t="shared" si="13"/>
        <v/>
      </c>
      <c r="AD102" s="2">
        <f t="shared" si="11"/>
        <v>0</v>
      </c>
      <c r="AE102" s="12">
        <v>9</v>
      </c>
      <c r="AF102" s="12" t="str">
        <f t="shared" si="14"/>
        <v/>
      </c>
      <c r="AG102" s="2">
        <f t="shared" si="12"/>
        <v>0</v>
      </c>
      <c r="AH102" s="12">
        <v>24</v>
      </c>
      <c r="AI102" s="12" t="str">
        <f t="shared" si="15"/>
        <v/>
      </c>
      <c r="AJ102" s="35">
        <v>77</v>
      </c>
      <c r="AK102" s="87">
        <v>24.36</v>
      </c>
      <c r="AL102" s="87">
        <v>24.86</v>
      </c>
      <c r="AM102" s="209">
        <v>25.56</v>
      </c>
      <c r="AN102" s="88">
        <v>26.06</v>
      </c>
      <c r="AO102" s="88">
        <v>26.17</v>
      </c>
    </row>
    <row r="103" spans="1:41" x14ac:dyDescent="0.3">
      <c r="A103" s="35">
        <v>78</v>
      </c>
      <c r="B103" s="242">
        <v>3.2324907779693604</v>
      </c>
      <c r="C103" s="223">
        <v>2.8856825828552246</v>
      </c>
      <c r="D103" s="246">
        <v>2.8087863922119141</v>
      </c>
      <c r="E103" s="224">
        <v>2.7967014312744141</v>
      </c>
      <c r="F103" s="224">
        <v>2.7620396614074707</v>
      </c>
      <c r="G103" s="225">
        <v>2.7215631008148193</v>
      </c>
      <c r="H103" s="225">
        <v>2.7215631008148193</v>
      </c>
      <c r="I103" s="225">
        <v>2.7130434513092041</v>
      </c>
      <c r="J103" s="225">
        <v>2.7055151462554932</v>
      </c>
      <c r="K103" s="225">
        <v>2.6970953941345215</v>
      </c>
      <c r="L103" s="35" t="s">
        <v>43</v>
      </c>
      <c r="M103" s="47">
        <v>1.6763748562</v>
      </c>
      <c r="N103" s="135" t="s">
        <v>255</v>
      </c>
      <c r="O103" s="179">
        <v>60.435685954185047</v>
      </c>
      <c r="P103" s="179">
        <v>56.642678296122696</v>
      </c>
      <c r="Q103" s="185">
        <v>53.302394202190747</v>
      </c>
      <c r="R103" s="175">
        <v>44.630841151808347</v>
      </c>
      <c r="S103" s="174">
        <v>35.271360970692136</v>
      </c>
      <c r="T103" s="211">
        <v>22.498066700621695</v>
      </c>
      <c r="U103" s="196">
        <v>12.246830082191725</v>
      </c>
      <c r="V103" s="196">
        <v>3.864144888712568</v>
      </c>
      <c r="W103" s="196">
        <v>1.0995326231525777</v>
      </c>
      <c r="X103" s="196"/>
      <c r="Z103" s="17" t="s">
        <v>46</v>
      </c>
      <c r="AA103" s="2">
        <f t="shared" si="10"/>
        <v>0</v>
      </c>
      <c r="AB103" s="2">
        <v>3</v>
      </c>
      <c r="AC103" s="12" t="str">
        <f t="shared" si="13"/>
        <v/>
      </c>
      <c r="AD103" s="2">
        <f t="shared" si="11"/>
        <v>0</v>
      </c>
      <c r="AE103" s="12">
        <v>9</v>
      </c>
      <c r="AF103" s="12" t="str">
        <f t="shared" si="14"/>
        <v/>
      </c>
      <c r="AG103" s="2">
        <f t="shared" si="12"/>
        <v>0</v>
      </c>
      <c r="AH103" s="12">
        <v>18</v>
      </c>
      <c r="AI103" s="12" t="str">
        <f t="shared" si="15"/>
        <v/>
      </c>
      <c r="AJ103" s="35">
        <v>78</v>
      </c>
      <c r="AK103" s="209">
        <v>24.13</v>
      </c>
      <c r="AL103" s="88">
        <v>27.03</v>
      </c>
      <c r="AM103" s="251">
        <v>27.77</v>
      </c>
      <c r="AN103" s="88">
        <v>27.89</v>
      </c>
      <c r="AO103" s="168">
        <v>28.24</v>
      </c>
    </row>
    <row r="104" spans="1:41" x14ac:dyDescent="0.3">
      <c r="A104" s="35">
        <v>79</v>
      </c>
      <c r="B104" s="242">
        <v>3.0620155334472656</v>
      </c>
      <c r="C104" s="222">
        <v>3.0221881866455078</v>
      </c>
      <c r="D104" s="246">
        <v>2.8727271556854248</v>
      </c>
      <c r="E104" s="224">
        <v>2.7583799362182617</v>
      </c>
      <c r="F104" s="225">
        <v>2.6889040470123291</v>
      </c>
      <c r="G104" s="225">
        <v>2.608121395111084</v>
      </c>
      <c r="H104" s="225">
        <v>2.5</v>
      </c>
      <c r="I104" s="239">
        <v>2.4618260860443115</v>
      </c>
      <c r="J104" s="239"/>
      <c r="L104" s="35" t="s">
        <v>43</v>
      </c>
      <c r="M104" s="47">
        <v>1.5241653004</v>
      </c>
      <c r="N104" s="14" t="s">
        <v>256</v>
      </c>
      <c r="O104" s="185">
        <v>55.812936253558696</v>
      </c>
      <c r="P104" s="185">
        <v>51.446978665491073</v>
      </c>
      <c r="Q104" s="174">
        <v>28.812861956457297</v>
      </c>
      <c r="R104" s="196">
        <v>10.706815707907504</v>
      </c>
      <c r="S104" s="196">
        <v>3.6490254652132017</v>
      </c>
      <c r="T104" s="45"/>
      <c r="U104" s="45"/>
      <c r="V104" s="45"/>
      <c r="W104" s="45"/>
      <c r="X104" s="45"/>
      <c r="Z104" s="18" t="s">
        <v>47</v>
      </c>
      <c r="AA104" s="2">
        <f t="shared" si="10"/>
        <v>0</v>
      </c>
      <c r="AB104" s="2">
        <v>2</v>
      </c>
      <c r="AC104" s="12" t="str">
        <f t="shared" si="13"/>
        <v/>
      </c>
      <c r="AD104" s="2">
        <f t="shared" si="11"/>
        <v>0</v>
      </c>
      <c r="AE104" s="12">
        <v>7</v>
      </c>
      <c r="AF104" s="12" t="str">
        <f t="shared" si="14"/>
        <v/>
      </c>
      <c r="AG104" s="2">
        <f t="shared" si="12"/>
        <v>0</v>
      </c>
      <c r="AH104" s="12">
        <v>11</v>
      </c>
      <c r="AI104" s="12" t="str">
        <f t="shared" si="15"/>
        <v/>
      </c>
      <c r="AJ104" s="35">
        <v>79</v>
      </c>
      <c r="AK104" s="209">
        <v>25.8</v>
      </c>
      <c r="AL104" s="88">
        <v>26.14</v>
      </c>
      <c r="AM104" s="251">
        <v>27.5</v>
      </c>
      <c r="AN104" s="168">
        <v>28.64</v>
      </c>
      <c r="AO104" s="168">
        <v>29.38</v>
      </c>
    </row>
    <row r="105" spans="1:41" x14ac:dyDescent="0.3">
      <c r="A105" s="35">
        <v>80</v>
      </c>
      <c r="B105" s="243">
        <v>3.4364259243011475</v>
      </c>
      <c r="C105" s="223">
        <v>2.7710425853729248</v>
      </c>
      <c r="D105" s="223">
        <v>2.7605245113372803</v>
      </c>
      <c r="E105" s="224">
        <v>2.7500858306884766</v>
      </c>
      <c r="F105" s="225">
        <v>2.7294440269470215</v>
      </c>
      <c r="G105" s="225">
        <v>2.6186580657958984</v>
      </c>
      <c r="L105" s="35" t="s">
        <v>43</v>
      </c>
      <c r="M105" s="47">
        <v>1.3784233987000001</v>
      </c>
      <c r="N105" s="14" t="s">
        <v>257</v>
      </c>
      <c r="O105" s="211">
        <v>13.791027414988001</v>
      </c>
      <c r="P105" s="196">
        <v>4.0558944389837679</v>
      </c>
      <c r="Q105" s="196">
        <v>2.033957588692767</v>
      </c>
      <c r="R105" s="196">
        <v>1.9829788276940763</v>
      </c>
      <c r="S105" s="196">
        <v>1.7698829948726569</v>
      </c>
      <c r="T105" s="45"/>
      <c r="U105" s="45"/>
      <c r="V105" s="45"/>
      <c r="W105" s="45"/>
      <c r="X105" s="45"/>
      <c r="Z105" s="63" t="s">
        <v>49</v>
      </c>
      <c r="AA105" s="48"/>
      <c r="AB105" s="48"/>
      <c r="AC105" s="48"/>
      <c r="AD105" s="2">
        <f t="shared" si="11"/>
        <v>0</v>
      </c>
      <c r="AE105" s="12">
        <v>8</v>
      </c>
      <c r="AF105" s="12" t="str">
        <f t="shared" si="14"/>
        <v/>
      </c>
      <c r="AG105" s="2">
        <f t="shared" si="12"/>
        <v>0</v>
      </c>
      <c r="AH105" s="12">
        <v>10</v>
      </c>
      <c r="AI105" s="12" t="str">
        <f t="shared" si="15"/>
        <v/>
      </c>
      <c r="AJ105" s="35">
        <v>80</v>
      </c>
      <c r="AK105" s="200">
        <v>23.28</v>
      </c>
      <c r="AL105" s="168">
        <v>28.87</v>
      </c>
      <c r="AM105" s="168">
        <v>28.98</v>
      </c>
      <c r="AN105" s="168">
        <v>29.09</v>
      </c>
      <c r="AO105" s="168">
        <v>29.31</v>
      </c>
    </row>
    <row r="106" spans="1:41" x14ac:dyDescent="0.3">
      <c r="A106" s="35">
        <v>81</v>
      </c>
      <c r="B106" s="242">
        <v>3.1628270149230957</v>
      </c>
      <c r="C106" s="246">
        <v>2.97029709815979</v>
      </c>
      <c r="D106" s="223">
        <v>2.9326574802398682</v>
      </c>
      <c r="E106" s="224">
        <v>2.8774423599243164</v>
      </c>
      <c r="F106" s="224">
        <v>2.8351418972015381</v>
      </c>
      <c r="G106" s="225">
        <v>2.7420446872711182</v>
      </c>
      <c r="H106" s="225">
        <v>2.7355623245239258</v>
      </c>
      <c r="I106" s="225">
        <v>2.563291072845459</v>
      </c>
      <c r="J106" s="225">
        <v>2.5296688079833984</v>
      </c>
      <c r="K106" s="239">
        <v>2.3725836277008057</v>
      </c>
      <c r="L106" s="35" t="s">
        <v>43</v>
      </c>
      <c r="M106" s="47">
        <v>1.2401688089</v>
      </c>
      <c r="N106" s="14" t="s">
        <v>258</v>
      </c>
      <c r="O106" s="211">
        <v>13.439406582657776</v>
      </c>
      <c r="P106" s="196"/>
      <c r="Q106" s="45"/>
      <c r="R106" s="45"/>
      <c r="S106" s="45"/>
      <c r="T106" s="45"/>
      <c r="U106" s="45"/>
      <c r="V106" s="45"/>
      <c r="W106" s="45"/>
      <c r="X106" s="45"/>
      <c r="Z106" s="112" t="s">
        <v>322</v>
      </c>
      <c r="AA106" s="109">
        <f>SUM(AA99:AA105)</f>
        <v>34</v>
      </c>
      <c r="AB106" s="109">
        <f>SUM(AB99:AB105)</f>
        <v>50</v>
      </c>
      <c r="AC106" s="112"/>
      <c r="AD106" s="109">
        <f>SUM(AD99:AD105)</f>
        <v>61</v>
      </c>
      <c r="AE106" s="109">
        <f>SUM(AE99:AE105)</f>
        <v>113</v>
      </c>
      <c r="AF106" s="112"/>
      <c r="AG106" s="109">
        <f>SUM(AG99:AG105)</f>
        <v>93</v>
      </c>
      <c r="AH106" s="109">
        <f>SUM(AH99:AH105)</f>
        <v>189</v>
      </c>
      <c r="AI106" s="112"/>
      <c r="AJ106" s="35">
        <v>81</v>
      </c>
      <c r="AK106" s="209">
        <v>25.61</v>
      </c>
      <c r="AL106" s="251">
        <v>27.27</v>
      </c>
      <c r="AM106" s="88">
        <v>27.62</v>
      </c>
      <c r="AN106" s="168">
        <v>28.15</v>
      </c>
      <c r="AO106" s="168">
        <v>28.57</v>
      </c>
    </row>
    <row r="107" spans="1:41" x14ac:dyDescent="0.3">
      <c r="A107" s="35">
        <v>82</v>
      </c>
      <c r="B107" s="222">
        <v>3.1635801792144775</v>
      </c>
      <c r="C107" s="222">
        <v>3.138155460357666</v>
      </c>
      <c r="D107" s="222">
        <v>3.0734632015228271</v>
      </c>
      <c r="E107" s="224">
        <v>2.8198075294494629</v>
      </c>
      <c r="F107" s="224">
        <v>2.7535257339477539</v>
      </c>
      <c r="G107" s="225">
        <v>2.6256804466247559</v>
      </c>
      <c r="H107" s="239">
        <v>2.4992380142211914</v>
      </c>
      <c r="I107" s="238"/>
      <c r="L107" s="35" t="s">
        <v>43</v>
      </c>
      <c r="M107" s="47">
        <v>1.1101052317</v>
      </c>
      <c r="N107" s="35" t="s">
        <v>125</v>
      </c>
      <c r="O107" s="175">
        <v>46.114050941546594</v>
      </c>
      <c r="P107" s="175">
        <v>43.253819138562697</v>
      </c>
      <c r="Q107" s="175">
        <v>40.238648022738083</v>
      </c>
      <c r="R107" s="175">
        <v>38.085874463917918</v>
      </c>
      <c r="S107" s="174">
        <v>36.759350034548568</v>
      </c>
      <c r="T107" s="174">
        <v>35.634068098698336</v>
      </c>
      <c r="U107" s="174">
        <v>34.856278379009844</v>
      </c>
      <c r="V107" s="174">
        <v>34.264735960117413</v>
      </c>
      <c r="W107" s="174">
        <v>33.34386075083377</v>
      </c>
      <c r="X107" s="174">
        <v>32.840244208529455</v>
      </c>
      <c r="Z107" s="35" t="s">
        <v>16</v>
      </c>
      <c r="AA107" s="321" t="s">
        <v>82</v>
      </c>
      <c r="AB107" s="321"/>
      <c r="AC107" s="321"/>
      <c r="AD107" s="321" t="s">
        <v>81</v>
      </c>
      <c r="AE107" s="321"/>
      <c r="AF107" s="321"/>
      <c r="AG107" s="321" t="s">
        <v>78</v>
      </c>
      <c r="AH107" s="321"/>
      <c r="AI107" s="321"/>
      <c r="AJ107" s="35">
        <v>82</v>
      </c>
      <c r="AK107" s="87">
        <v>25.92</v>
      </c>
      <c r="AL107" s="88">
        <v>26.13</v>
      </c>
      <c r="AM107" s="88">
        <v>26.68</v>
      </c>
      <c r="AN107" s="168">
        <v>29.08</v>
      </c>
      <c r="AO107" s="168">
        <v>29.78</v>
      </c>
    </row>
    <row r="108" spans="1:41" x14ac:dyDescent="0.3">
      <c r="A108" s="35">
        <v>83</v>
      </c>
      <c r="B108" s="222">
        <v>3.2333462238311768</v>
      </c>
      <c r="C108" s="242">
        <v>3.1074504852294922</v>
      </c>
      <c r="D108" s="246">
        <v>2.7852349281311035</v>
      </c>
      <c r="E108" s="237">
        <v>2.0590424537658691</v>
      </c>
      <c r="L108" s="16" t="s">
        <v>15</v>
      </c>
      <c r="M108" s="47">
        <v>0.98869360220000002</v>
      </c>
      <c r="N108" s="35" t="s">
        <v>126</v>
      </c>
      <c r="O108" s="185">
        <v>55.040884621323961</v>
      </c>
      <c r="P108" s="175">
        <v>48.246472577037942</v>
      </c>
      <c r="Q108" s="175">
        <v>44.335308705602003</v>
      </c>
      <c r="R108" s="175">
        <v>42.845156925107425</v>
      </c>
      <c r="S108" s="175">
        <v>39.480166775970361</v>
      </c>
      <c r="T108" s="175">
        <v>37.868765472601055</v>
      </c>
      <c r="U108" s="174">
        <v>33.882332408806761</v>
      </c>
      <c r="V108" s="174">
        <v>30.945989494073213</v>
      </c>
      <c r="W108" s="211">
        <v>23.438244588645013</v>
      </c>
      <c r="X108" s="211">
        <v>21.50555154544594</v>
      </c>
      <c r="Z108" s="16" t="s">
        <v>1</v>
      </c>
      <c r="AA108" s="323" t="s">
        <v>172</v>
      </c>
      <c r="AB108" s="323"/>
      <c r="AC108" s="323"/>
      <c r="AD108" s="323" t="s">
        <v>80</v>
      </c>
      <c r="AE108" s="323"/>
      <c r="AF108" s="323"/>
      <c r="AG108" s="323" t="s">
        <v>84</v>
      </c>
      <c r="AH108" s="323"/>
      <c r="AI108" s="323"/>
      <c r="AJ108" s="35">
        <v>83</v>
      </c>
      <c r="AK108" s="87">
        <v>25.67</v>
      </c>
      <c r="AL108" s="251">
        <v>26.71</v>
      </c>
      <c r="AM108" s="252">
        <v>29.8</v>
      </c>
      <c r="AN108" s="12">
        <v>40.31</v>
      </c>
    </row>
    <row r="109" spans="1:41" x14ac:dyDescent="0.3">
      <c r="A109" s="35">
        <v>84</v>
      </c>
      <c r="B109" s="242">
        <v>3.1157271862030029</v>
      </c>
      <c r="C109" s="242">
        <v>3.0390739440917969</v>
      </c>
      <c r="D109" s="223">
        <v>2.8688523769378662</v>
      </c>
      <c r="E109" s="239">
        <v>2.4676849842071533</v>
      </c>
      <c r="F109" s="238">
        <v>1.8783541917800903</v>
      </c>
      <c r="L109" s="16" t="s">
        <v>15</v>
      </c>
      <c r="M109" s="47">
        <v>0.87623150029999997</v>
      </c>
      <c r="N109" s="35" t="s">
        <v>127</v>
      </c>
      <c r="O109" s="179">
        <v>57.260464762550455</v>
      </c>
      <c r="P109" s="185">
        <v>51.681993720339364</v>
      </c>
      <c r="Q109" s="175">
        <v>46.467935385941608</v>
      </c>
      <c r="R109" s="175">
        <v>41.858985953776035</v>
      </c>
      <c r="S109" s="174">
        <v>35.171248648425582</v>
      </c>
      <c r="T109" s="174">
        <v>29.072805307548581</v>
      </c>
      <c r="U109" s="211">
        <v>24.228932898892268</v>
      </c>
      <c r="V109" s="211">
        <v>18.339887255998029</v>
      </c>
      <c r="W109" s="211">
        <v>14.975746689686066</v>
      </c>
      <c r="X109" s="196">
        <v>10.38440955055543</v>
      </c>
      <c r="Z109" s="15" t="s">
        <v>18</v>
      </c>
      <c r="AA109" s="324" t="s">
        <v>173</v>
      </c>
      <c r="AB109" s="324"/>
      <c r="AC109" s="324"/>
      <c r="AD109" s="324" t="s">
        <v>79</v>
      </c>
      <c r="AE109" s="324"/>
      <c r="AF109" s="324"/>
      <c r="AG109" s="324" t="s">
        <v>86</v>
      </c>
      <c r="AH109" s="324"/>
      <c r="AI109" s="324"/>
      <c r="AJ109" s="35">
        <v>84</v>
      </c>
      <c r="AK109" s="251">
        <v>26.96</v>
      </c>
      <c r="AL109" s="251">
        <v>27.64</v>
      </c>
      <c r="AM109" s="168">
        <v>29.28</v>
      </c>
      <c r="AN109" s="12">
        <v>34.04</v>
      </c>
      <c r="AO109" s="12">
        <v>44.72</v>
      </c>
    </row>
    <row r="110" spans="1:41" x14ac:dyDescent="0.3">
      <c r="A110" s="35">
        <v>85</v>
      </c>
      <c r="B110" s="242">
        <v>3.1067249774932861</v>
      </c>
      <c r="C110" s="223">
        <v>2.9209620952606201</v>
      </c>
      <c r="D110" s="223">
        <v>2.879403829574585</v>
      </c>
      <c r="E110" s="225">
        <v>2.6595745086669922</v>
      </c>
      <c r="L110" s="16" t="s">
        <v>15</v>
      </c>
      <c r="M110" s="47">
        <v>0.77279063970000006</v>
      </c>
      <c r="N110" s="35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Z110" s="14" t="s">
        <v>17</v>
      </c>
      <c r="AA110" s="322" t="s">
        <v>174</v>
      </c>
      <c r="AB110" s="322"/>
      <c r="AC110" s="322"/>
      <c r="AD110" s="322" t="s">
        <v>160</v>
      </c>
      <c r="AE110" s="322"/>
      <c r="AF110" s="322"/>
      <c r="AG110" s="322" t="s">
        <v>85</v>
      </c>
      <c r="AH110" s="322"/>
      <c r="AI110" s="322"/>
      <c r="AJ110" s="35">
        <v>85</v>
      </c>
      <c r="AK110" s="251">
        <v>27.36</v>
      </c>
      <c r="AL110" s="168">
        <v>29.1</v>
      </c>
      <c r="AM110" s="168">
        <v>29.52</v>
      </c>
      <c r="AN110" s="12">
        <v>31.96</v>
      </c>
    </row>
    <row r="111" spans="1:41" x14ac:dyDescent="0.3">
      <c r="A111" s="35">
        <v>86</v>
      </c>
      <c r="B111" s="242">
        <v>3.0048916339874268</v>
      </c>
      <c r="C111" s="223">
        <v>2.979902982711792</v>
      </c>
      <c r="D111" s="223">
        <v>2.8618969917297363</v>
      </c>
      <c r="E111" s="239">
        <v>2.4069409370422363</v>
      </c>
      <c r="L111" s="16" t="s">
        <v>15</v>
      </c>
      <c r="M111" s="47">
        <v>0.67829733339999998</v>
      </c>
      <c r="N111" s="35" t="s">
        <v>292</v>
      </c>
      <c r="O111" s="48" t="s">
        <v>286</v>
      </c>
      <c r="P111" s="48" t="s">
        <v>287</v>
      </c>
      <c r="Q111" s="48" t="s">
        <v>288</v>
      </c>
      <c r="R111" s="48" t="s">
        <v>289</v>
      </c>
      <c r="S111" s="48" t="s">
        <v>290</v>
      </c>
      <c r="T111" s="48" t="s">
        <v>291</v>
      </c>
      <c r="U111" s="48" t="s">
        <v>20</v>
      </c>
      <c r="V111" s="48" t="s">
        <v>21</v>
      </c>
      <c r="W111" s="48" t="s">
        <v>22</v>
      </c>
      <c r="X111" s="48" t="s">
        <v>23</v>
      </c>
      <c r="Z111" s="17" t="s">
        <v>46</v>
      </c>
      <c r="AA111" s="325" t="s">
        <v>166</v>
      </c>
      <c r="AB111" s="325"/>
      <c r="AC111" s="325"/>
      <c r="AD111" s="325" t="s">
        <v>161</v>
      </c>
      <c r="AE111" s="325"/>
      <c r="AF111" s="325"/>
      <c r="AG111" s="325" t="s">
        <v>165</v>
      </c>
      <c r="AH111" s="325"/>
      <c r="AI111" s="325"/>
      <c r="AJ111" s="35">
        <v>86</v>
      </c>
      <c r="AK111" s="252">
        <v>28.62</v>
      </c>
      <c r="AL111" s="168">
        <v>28.86</v>
      </c>
      <c r="AM111" s="12">
        <v>30.05</v>
      </c>
      <c r="AN111" s="12">
        <v>35.729999999999997</v>
      </c>
    </row>
    <row r="112" spans="1:41" x14ac:dyDescent="0.3">
      <c r="A112" s="35">
        <v>87</v>
      </c>
      <c r="B112" s="247"/>
      <c r="L112" s="16" t="s">
        <v>15</v>
      </c>
      <c r="M112" s="47">
        <v>0.59258195079999998</v>
      </c>
      <c r="N112" s="35" t="s">
        <v>274</v>
      </c>
      <c r="O112" s="158">
        <v>16.509134292602539</v>
      </c>
      <c r="P112" s="172">
        <v>13.99242115020752</v>
      </c>
      <c r="Q112" s="172">
        <v>11.901432991027832</v>
      </c>
      <c r="R112" s="172">
        <v>11.539809226989746</v>
      </c>
      <c r="S112" s="172">
        <v>11.098409652709961</v>
      </c>
      <c r="T112" s="172">
        <v>10.78715705871582</v>
      </c>
      <c r="U112" s="172">
        <v>10.516811370849609</v>
      </c>
      <c r="V112" s="172">
        <v>10.264209747314453</v>
      </c>
      <c r="W112" s="186">
        <v>8.4421253204345703</v>
      </c>
      <c r="X112" s="186">
        <v>7.9584627151489258</v>
      </c>
      <c r="Z112" s="18" t="s">
        <v>47</v>
      </c>
      <c r="AA112" s="326" t="s">
        <v>83</v>
      </c>
      <c r="AB112" s="326"/>
      <c r="AC112" s="326"/>
      <c r="AD112" s="326" t="s">
        <v>163</v>
      </c>
      <c r="AE112" s="326"/>
      <c r="AF112" s="326"/>
      <c r="AG112" s="326" t="s">
        <v>162</v>
      </c>
      <c r="AH112" s="326"/>
      <c r="AI112" s="326"/>
      <c r="AJ112" s="35">
        <v>87</v>
      </c>
      <c r="AK112" s="189"/>
    </row>
    <row r="113" spans="1:41" x14ac:dyDescent="0.3">
      <c r="A113" s="35">
        <v>88</v>
      </c>
      <c r="B113" s="226">
        <v>3.36777663230896</v>
      </c>
      <c r="C113" s="242">
        <v>3.1552529335021973</v>
      </c>
      <c r="D113" s="223">
        <v>2.8589992523193359</v>
      </c>
      <c r="E113" s="224">
        <v>2.8332259654998779</v>
      </c>
      <c r="F113" s="224">
        <v>2.8187060356140137</v>
      </c>
      <c r="G113" s="225">
        <v>2.7236149311065674</v>
      </c>
      <c r="L113" s="16" t="s">
        <v>15</v>
      </c>
      <c r="M113" s="47">
        <v>0.51529994589999994</v>
      </c>
      <c r="N113" s="135" t="s">
        <v>265</v>
      </c>
      <c r="O113" s="259">
        <v>36.713863372802734</v>
      </c>
      <c r="P113" s="259">
        <v>35.778285980224609</v>
      </c>
      <c r="Q113" s="264">
        <v>34.293037414550781</v>
      </c>
      <c r="R113" s="264">
        <v>33.487895965576172</v>
      </c>
      <c r="S113" s="264">
        <v>33.062698364257813</v>
      </c>
      <c r="T113" s="264">
        <v>32.686595916748047</v>
      </c>
      <c r="U113" s="261">
        <v>32.209720611572266</v>
      </c>
      <c r="V113" s="261">
        <v>31.993940353393555</v>
      </c>
      <c r="W113" s="261">
        <v>31.528432846069336</v>
      </c>
      <c r="X113" s="261">
        <v>31.361076354980469</v>
      </c>
      <c r="Z113" s="63" t="s">
        <v>49</v>
      </c>
      <c r="AA113" s="317" t="s">
        <v>312</v>
      </c>
      <c r="AB113" s="318"/>
      <c r="AC113" s="319"/>
      <c r="AD113" s="327" t="s">
        <v>167</v>
      </c>
      <c r="AE113" s="327"/>
      <c r="AF113" s="327"/>
      <c r="AG113" s="327" t="s">
        <v>164</v>
      </c>
      <c r="AH113" s="327"/>
      <c r="AI113" s="327"/>
      <c r="AJ113" s="35">
        <v>88</v>
      </c>
      <c r="AK113" s="88">
        <v>26.13</v>
      </c>
      <c r="AL113" s="251">
        <v>27.89</v>
      </c>
      <c r="AM113" s="12">
        <v>30.78</v>
      </c>
      <c r="AN113" s="12">
        <v>31.06</v>
      </c>
      <c r="AO113" s="12">
        <v>31.22</v>
      </c>
    </row>
    <row r="114" spans="1:41" x14ac:dyDescent="0.3">
      <c r="A114" s="35">
        <v>89</v>
      </c>
      <c r="L114" s="16" t="s">
        <v>15</v>
      </c>
      <c r="M114" s="47">
        <v>0.44606144810000004</v>
      </c>
      <c r="N114" s="135" t="s">
        <v>266</v>
      </c>
      <c r="O114" s="260">
        <v>39.929164886474609</v>
      </c>
      <c r="P114" s="260">
        <v>37.549076080322266</v>
      </c>
      <c r="Q114" s="259">
        <v>36.640670776367188</v>
      </c>
      <c r="R114" s="259">
        <v>35.679592132568359</v>
      </c>
      <c r="S114" s="264">
        <v>34.749111175537109</v>
      </c>
      <c r="T114" s="264">
        <v>34.172100067138672</v>
      </c>
      <c r="U114" s="264">
        <v>33.834281921386719</v>
      </c>
      <c r="V114" s="264">
        <v>33.273731231689453</v>
      </c>
      <c r="W114" s="264">
        <v>32.916732788085938</v>
      </c>
      <c r="X114" s="261">
        <v>32.440227508544922</v>
      </c>
      <c r="Z114" s="2" t="s">
        <v>169</v>
      </c>
      <c r="AA114" s="317" t="s">
        <v>313</v>
      </c>
      <c r="AB114" s="318"/>
      <c r="AC114" s="319"/>
      <c r="AD114" s="320" t="s">
        <v>175</v>
      </c>
      <c r="AE114" s="320"/>
      <c r="AF114" s="320"/>
      <c r="AG114" s="320" t="s">
        <v>168</v>
      </c>
      <c r="AH114" s="320"/>
      <c r="AI114" s="320"/>
      <c r="AJ114" s="35">
        <v>89</v>
      </c>
    </row>
    <row r="115" spans="1:41" x14ac:dyDescent="0.3">
      <c r="A115" s="35">
        <v>90</v>
      </c>
      <c r="B115" s="223">
        <v>2.8427038192749023</v>
      </c>
      <c r="L115" s="16" t="s">
        <v>15</v>
      </c>
      <c r="M115" s="47">
        <v>0.38439593370000003</v>
      </c>
      <c r="N115" s="35" t="s">
        <v>267</v>
      </c>
      <c r="O115" s="159">
        <v>24.736396789550781</v>
      </c>
      <c r="P115" s="158">
        <v>17.421913146972656</v>
      </c>
      <c r="Q115" s="172">
        <v>12.893562316894531</v>
      </c>
      <c r="R115" s="186">
        <v>6.5579748153686523</v>
      </c>
      <c r="S115" s="265">
        <v>2.9761905670166016</v>
      </c>
      <c r="T115" s="265">
        <v>0</v>
      </c>
      <c r="U115" s="57">
        <v>0</v>
      </c>
      <c r="V115" s="57">
        <v>0</v>
      </c>
      <c r="W115" s="57">
        <v>0</v>
      </c>
      <c r="X115" s="57">
        <v>0</v>
      </c>
      <c r="Z115" s="2" t="s">
        <v>310</v>
      </c>
      <c r="AA115" s="317" t="s">
        <v>314</v>
      </c>
      <c r="AB115" s="318"/>
      <c r="AC115" s="319"/>
      <c r="AD115" s="320" t="s">
        <v>176</v>
      </c>
      <c r="AE115" s="320"/>
      <c r="AF115" s="320"/>
      <c r="AG115" s="320" t="s">
        <v>170</v>
      </c>
      <c r="AH115" s="320"/>
      <c r="AI115" s="320"/>
      <c r="AJ115" s="35">
        <v>90</v>
      </c>
      <c r="AK115" s="12">
        <v>31.66</v>
      </c>
    </row>
    <row r="116" spans="1:41" x14ac:dyDescent="0.3">
      <c r="A116" s="35">
        <v>91</v>
      </c>
      <c r="B116" s="242">
        <v>3.0033004283905029</v>
      </c>
      <c r="C116" s="223">
        <v>2.8331258296966553</v>
      </c>
      <c r="L116" s="16" t="s">
        <v>15</v>
      </c>
      <c r="M116" s="47">
        <v>0.32977911199999999</v>
      </c>
      <c r="N116" s="16" t="s">
        <v>267</v>
      </c>
      <c r="O116" s="186">
        <v>5.8816604614257813</v>
      </c>
      <c r="P116" s="57">
        <v>0</v>
      </c>
      <c r="Q116" s="57">
        <v>0</v>
      </c>
      <c r="R116" s="57">
        <v>0</v>
      </c>
      <c r="S116" s="57">
        <v>0</v>
      </c>
      <c r="T116" s="57">
        <v>0</v>
      </c>
      <c r="U116" s="57">
        <v>0</v>
      </c>
      <c r="V116" s="57">
        <v>0</v>
      </c>
      <c r="W116" s="57">
        <v>0</v>
      </c>
      <c r="X116" s="57">
        <v>0</v>
      </c>
      <c r="Z116" s="2" t="s">
        <v>311</v>
      </c>
      <c r="AA116" s="317" t="s">
        <v>315</v>
      </c>
      <c r="AB116" s="318"/>
      <c r="AC116" s="319"/>
      <c r="AD116" s="320" t="s">
        <v>177</v>
      </c>
      <c r="AE116" s="320"/>
      <c r="AF116" s="320"/>
      <c r="AG116" s="320" t="s">
        <v>171</v>
      </c>
      <c r="AH116" s="320"/>
      <c r="AI116" s="320"/>
      <c r="AJ116" s="35">
        <v>91</v>
      </c>
      <c r="AK116" s="189">
        <v>30.3</v>
      </c>
      <c r="AL116" s="12">
        <v>32.119999999999997</v>
      </c>
    </row>
    <row r="117" spans="1:41" x14ac:dyDescent="0.3">
      <c r="A117" s="35">
        <v>92</v>
      </c>
      <c r="B117" s="243">
        <v>3.2554848194122314</v>
      </c>
      <c r="C117" s="222">
        <v>3.0473666191101074</v>
      </c>
      <c r="D117" s="223">
        <v>2.7794563770294189</v>
      </c>
      <c r="E117" s="225">
        <v>2.6916325092315674</v>
      </c>
      <c r="F117" s="238"/>
      <c r="L117" s="16" t="s">
        <v>15</v>
      </c>
      <c r="M117" s="47">
        <v>0.28172193680000002</v>
      </c>
      <c r="N117" s="135" t="s">
        <v>259</v>
      </c>
      <c r="O117" s="159">
        <v>24.8673095703125</v>
      </c>
      <c r="P117" s="158">
        <v>18.550666809082031</v>
      </c>
      <c r="Q117" s="172">
        <v>12.384932518005371</v>
      </c>
      <c r="R117" s="172">
        <v>11.905045509338379</v>
      </c>
      <c r="S117" s="172">
        <v>11.705810546875</v>
      </c>
      <c r="T117" s="172">
        <v>11.204679489135742</v>
      </c>
      <c r="U117" s="186">
        <v>8.9655427932739258</v>
      </c>
      <c r="V117" s="186">
        <v>8.1767158508300781</v>
      </c>
      <c r="W117" s="265">
        <v>4.4726719856262207</v>
      </c>
      <c r="X117" s="265">
        <v>4.4486465454101563</v>
      </c>
      <c r="Z117" s="2" t="s">
        <v>279</v>
      </c>
      <c r="AA117" s="317" t="s">
        <v>316</v>
      </c>
      <c r="AB117" s="318"/>
      <c r="AC117" s="319"/>
      <c r="AD117" s="320" t="s">
        <v>180</v>
      </c>
      <c r="AE117" s="320"/>
      <c r="AF117" s="320"/>
      <c r="AG117" s="320" t="s">
        <v>178</v>
      </c>
      <c r="AH117" s="320"/>
      <c r="AI117" s="320"/>
      <c r="AJ117" s="35">
        <v>92</v>
      </c>
      <c r="AK117" s="252">
        <v>28.26</v>
      </c>
      <c r="AL117" s="12">
        <v>30.19</v>
      </c>
      <c r="AM117" s="12">
        <v>33.1</v>
      </c>
      <c r="AN117" s="12">
        <v>34.18</v>
      </c>
    </row>
    <row r="118" spans="1:41" x14ac:dyDescent="0.3">
      <c r="A118" s="35">
        <v>93</v>
      </c>
      <c r="B118" s="243">
        <v>3.342918872833252</v>
      </c>
      <c r="C118" s="242">
        <v>3.057199239730835</v>
      </c>
      <c r="D118" s="222">
        <v>3.0332682132720947</v>
      </c>
      <c r="E118" s="224">
        <v>2.8980991840362549</v>
      </c>
      <c r="L118" s="16" t="s">
        <v>15</v>
      </c>
      <c r="M118" s="47">
        <v>0.23960544010000001</v>
      </c>
      <c r="N118" s="135" t="s">
        <v>272</v>
      </c>
      <c r="O118" s="163">
        <v>28.855690002441406</v>
      </c>
      <c r="P118" s="166">
        <v>26.674224853515625</v>
      </c>
      <c r="Q118" s="166">
        <v>25.511987686157227</v>
      </c>
      <c r="R118" s="166">
        <v>25.335458755493164</v>
      </c>
      <c r="S118" s="159">
        <v>24.81048583984375</v>
      </c>
      <c r="T118" s="159">
        <v>24.360738754272461</v>
      </c>
      <c r="U118" s="159">
        <v>23.948820114135742</v>
      </c>
      <c r="V118" s="157">
        <v>21.276256561279297</v>
      </c>
      <c r="W118" s="158">
        <v>16.773965835571289</v>
      </c>
      <c r="X118" s="158">
        <v>16.59770393371582</v>
      </c>
      <c r="Z118" s="2" t="s">
        <v>278</v>
      </c>
      <c r="AA118" s="317" t="s">
        <v>317</v>
      </c>
      <c r="AB118" s="318"/>
      <c r="AC118" s="319"/>
      <c r="AD118" s="320" t="s">
        <v>181</v>
      </c>
      <c r="AE118" s="320"/>
      <c r="AF118" s="320"/>
      <c r="AG118" s="320" t="s">
        <v>179</v>
      </c>
      <c r="AH118" s="320"/>
      <c r="AI118" s="320"/>
      <c r="AJ118" s="35">
        <v>93</v>
      </c>
      <c r="AK118" s="251">
        <v>27.82</v>
      </c>
      <c r="AL118" s="189">
        <v>30.42</v>
      </c>
      <c r="AM118" s="12">
        <v>30.66</v>
      </c>
      <c r="AN118" s="12">
        <v>32.090000000000003</v>
      </c>
    </row>
    <row r="119" spans="1:41" x14ac:dyDescent="0.3">
      <c r="A119" s="35">
        <v>94</v>
      </c>
      <c r="B119" s="222">
        <v>3.0880420207977295</v>
      </c>
      <c r="C119" s="223">
        <v>2.9850747585296631</v>
      </c>
      <c r="L119" s="16" t="s">
        <v>15</v>
      </c>
      <c r="M119" s="47">
        <v>0.20293448780000001</v>
      </c>
      <c r="N119" s="135" t="s">
        <v>260</v>
      </c>
      <c r="O119" s="261">
        <v>31.111835479736328</v>
      </c>
      <c r="P119" s="163">
        <v>29.541740417480469</v>
      </c>
      <c r="Q119" s="163">
        <v>28.780696868896484</v>
      </c>
      <c r="R119" s="163">
        <v>28.437751770019531</v>
      </c>
      <c r="S119" s="163">
        <v>28.172033309936523</v>
      </c>
      <c r="T119" s="163">
        <v>27.872264862060547</v>
      </c>
      <c r="U119" s="163">
        <v>27.510404586791992</v>
      </c>
      <c r="V119" s="166">
        <v>27.265434265136719</v>
      </c>
      <c r="W119" s="166">
        <v>26.839450836181641</v>
      </c>
      <c r="X119" s="166">
        <v>26.361379623413086</v>
      </c>
      <c r="Z119" s="2" t="s">
        <v>356</v>
      </c>
      <c r="AA119" s="317" t="s">
        <v>361</v>
      </c>
      <c r="AB119" s="318"/>
      <c r="AC119" s="319"/>
      <c r="AD119" s="35"/>
      <c r="AE119" s="35"/>
      <c r="AF119" s="35"/>
      <c r="AG119" s="35"/>
      <c r="AH119" s="35"/>
      <c r="AI119" s="35"/>
      <c r="AJ119" s="35">
        <v>94</v>
      </c>
      <c r="AK119" s="12">
        <v>30.44</v>
      </c>
      <c r="AL119" s="12">
        <v>31.49</v>
      </c>
    </row>
    <row r="120" spans="1:41" x14ac:dyDescent="0.3">
      <c r="A120" s="35">
        <v>95</v>
      </c>
      <c r="L120" s="16" t="s">
        <v>15</v>
      </c>
      <c r="M120" s="47">
        <v>0.17115893209999999</v>
      </c>
      <c r="N120" s="135" t="s">
        <v>261</v>
      </c>
      <c r="O120" s="261">
        <v>31.356546401977539</v>
      </c>
      <c r="P120" s="163">
        <v>29.704708099365234</v>
      </c>
      <c r="Q120" s="163">
        <v>28.874582290649414</v>
      </c>
      <c r="R120" s="163">
        <v>28.287776947021484</v>
      </c>
      <c r="S120" s="163">
        <v>27.513114929199219</v>
      </c>
      <c r="T120" s="166">
        <v>27.016357421875</v>
      </c>
      <c r="U120" s="159">
        <v>23.774295806884766</v>
      </c>
      <c r="V120" s="159">
        <v>23.090913772583008</v>
      </c>
      <c r="W120" s="158">
        <v>15.448319435119629</v>
      </c>
      <c r="X120" s="172">
        <v>13.139949798583984</v>
      </c>
      <c r="Z120" s="2" t="s">
        <v>357</v>
      </c>
      <c r="AA120" s="317" t="s">
        <v>362</v>
      </c>
      <c r="AB120" s="318"/>
      <c r="AC120" s="319"/>
      <c r="AD120" s="35"/>
      <c r="AE120" s="35"/>
      <c r="AF120" s="35"/>
      <c r="AG120" s="35"/>
      <c r="AH120" s="35"/>
      <c r="AI120" s="35"/>
      <c r="AJ120" s="35">
        <v>95</v>
      </c>
    </row>
    <row r="121" spans="1:41" x14ac:dyDescent="0.3">
      <c r="A121" s="35">
        <v>96</v>
      </c>
      <c r="L121" s="16" t="s">
        <v>15</v>
      </c>
      <c r="M121" s="47">
        <v>0.14376066379999999</v>
      </c>
      <c r="N121" s="135" t="s">
        <v>262</v>
      </c>
      <c r="O121" s="166">
        <v>25.591300964355469</v>
      </c>
      <c r="P121" s="159">
        <v>24.082136154174805</v>
      </c>
      <c r="Q121" s="159">
        <v>23.021032333374023</v>
      </c>
      <c r="R121" s="157">
        <v>20.873804092407227</v>
      </c>
      <c r="S121" s="172">
        <v>13.015171051025391</v>
      </c>
      <c r="T121" s="172">
        <v>10.70999813079834</v>
      </c>
      <c r="U121" s="186">
        <v>5.2348003387451172</v>
      </c>
      <c r="V121" s="265">
        <v>2.563291072845459</v>
      </c>
      <c r="W121" s="265">
        <v>2.5296688079833984</v>
      </c>
      <c r="X121" s="265">
        <v>2.3725836277008057</v>
      </c>
      <c r="Z121" s="2" t="s">
        <v>358</v>
      </c>
      <c r="AA121" s="317" t="s">
        <v>363</v>
      </c>
      <c r="AB121" s="318"/>
      <c r="AC121" s="319"/>
      <c r="AD121" s="35"/>
      <c r="AE121" s="35"/>
      <c r="AF121" s="35"/>
      <c r="AG121" s="35"/>
      <c r="AH121" s="35"/>
      <c r="AI121" s="35"/>
      <c r="AJ121" s="35">
        <v>96</v>
      </c>
    </row>
    <row r="122" spans="1:41" x14ac:dyDescent="0.3">
      <c r="A122" s="35">
        <v>97</v>
      </c>
      <c r="L122" s="16" t="s">
        <v>15</v>
      </c>
      <c r="M122" s="47">
        <v>0.12026164410000001</v>
      </c>
      <c r="N122" s="16" t="s">
        <v>263</v>
      </c>
      <c r="O122" s="157">
        <v>21.865110397338867</v>
      </c>
      <c r="P122" s="172">
        <v>11.92276668548584</v>
      </c>
      <c r="Q122" s="186">
        <v>5.8127245903015137</v>
      </c>
      <c r="R122" s="186">
        <v>5.5897316932678223</v>
      </c>
      <c r="S122" s="265">
        <v>0</v>
      </c>
      <c r="T122" s="57">
        <v>0</v>
      </c>
      <c r="U122" s="57">
        <v>0</v>
      </c>
      <c r="V122" s="57">
        <v>0</v>
      </c>
      <c r="W122" s="57">
        <v>0</v>
      </c>
      <c r="X122" s="57">
        <v>0</v>
      </c>
      <c r="Z122" s="2" t="s">
        <v>359</v>
      </c>
      <c r="AA122" s="317" t="s">
        <v>364</v>
      </c>
      <c r="AB122" s="318"/>
      <c r="AC122" s="319"/>
      <c r="AD122" s="35"/>
      <c r="AE122" s="35"/>
      <c r="AF122" s="35"/>
      <c r="AG122" s="35"/>
      <c r="AH122" s="35"/>
      <c r="AI122" s="35"/>
      <c r="AJ122" s="35">
        <v>97</v>
      </c>
    </row>
    <row r="123" spans="1:41" x14ac:dyDescent="0.3">
      <c r="A123" s="35">
        <v>98</v>
      </c>
      <c r="B123" s="246">
        <v>2.9607253074645996</v>
      </c>
      <c r="L123" s="16" t="s">
        <v>15</v>
      </c>
      <c r="M123" s="47">
        <v>0.1002024497</v>
      </c>
      <c r="N123" s="16" t="s">
        <v>264</v>
      </c>
      <c r="O123" s="186">
        <v>9.0393762588500977</v>
      </c>
      <c r="P123" s="265">
        <v>2.9908201694488525</v>
      </c>
      <c r="Q123" s="57">
        <v>0</v>
      </c>
      <c r="R123" s="57">
        <v>0</v>
      </c>
      <c r="S123" s="57">
        <v>0</v>
      </c>
      <c r="T123" s="57">
        <v>0</v>
      </c>
      <c r="U123" s="57">
        <v>0</v>
      </c>
      <c r="V123" s="57">
        <v>0</v>
      </c>
      <c r="W123" s="57">
        <v>0</v>
      </c>
      <c r="X123" s="57">
        <v>0</v>
      </c>
      <c r="Z123" s="2" t="s">
        <v>360</v>
      </c>
      <c r="AA123" s="317" t="s">
        <v>365</v>
      </c>
      <c r="AB123" s="318"/>
      <c r="AC123" s="319"/>
      <c r="AD123" s="35"/>
      <c r="AE123" s="35"/>
      <c r="AF123" s="35"/>
      <c r="AG123" s="35"/>
      <c r="AH123" s="35"/>
      <c r="AI123" s="35"/>
      <c r="AJ123" s="35">
        <v>98</v>
      </c>
      <c r="AK123" s="189">
        <v>33.1</v>
      </c>
    </row>
    <row r="124" spans="1:41" x14ac:dyDescent="0.3">
      <c r="A124" s="35">
        <v>99</v>
      </c>
      <c r="B124" s="226">
        <v>3.3719346523284912</v>
      </c>
      <c r="L124" s="15" t="s">
        <v>18</v>
      </c>
      <c r="M124" s="47">
        <v>8.315215279999999E-2</v>
      </c>
      <c r="N124" s="14" t="s">
        <v>273</v>
      </c>
      <c r="O124" s="172">
        <v>10.072037696838379</v>
      </c>
      <c r="P124" s="265">
        <v>2.0233955383300781</v>
      </c>
      <c r="Q124" s="57">
        <v>0</v>
      </c>
      <c r="R124" s="57">
        <v>0</v>
      </c>
      <c r="S124" s="57">
        <v>0</v>
      </c>
      <c r="T124" s="57">
        <v>0</v>
      </c>
      <c r="U124" s="57">
        <v>0</v>
      </c>
      <c r="V124" s="57">
        <v>0</v>
      </c>
      <c r="W124" s="57">
        <v>0</v>
      </c>
      <c r="X124" s="57">
        <v>0</v>
      </c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v>99</v>
      </c>
      <c r="AK124" s="168">
        <v>29.36</v>
      </c>
    </row>
    <row r="125" spans="1:41" x14ac:dyDescent="0.3">
      <c r="A125" s="35">
        <v>100</v>
      </c>
      <c r="B125" s="244">
        <v>3.6075036525726318</v>
      </c>
      <c r="L125" s="15" t="s">
        <v>18</v>
      </c>
      <c r="M125" s="47">
        <v>6.8736092200000001E-2</v>
      </c>
      <c r="N125" s="14" t="s">
        <v>268</v>
      </c>
      <c r="O125" s="158">
        <v>16.847618103027344</v>
      </c>
      <c r="P125" s="172">
        <v>10.419328689575195</v>
      </c>
      <c r="Q125" s="265">
        <v>2.0792820453643799</v>
      </c>
      <c r="R125" s="265">
        <v>2.0706093311309814</v>
      </c>
      <c r="S125" s="265">
        <v>2.0620083808898926</v>
      </c>
      <c r="T125" s="57">
        <v>0</v>
      </c>
      <c r="U125" s="57">
        <v>0</v>
      </c>
      <c r="V125" s="57">
        <v>0</v>
      </c>
      <c r="W125" s="57">
        <v>0</v>
      </c>
      <c r="X125" s="57">
        <v>0</v>
      </c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v>100</v>
      </c>
      <c r="AK125" s="251">
        <v>27.72</v>
      </c>
    </row>
    <row r="126" spans="1:41" x14ac:dyDescent="0.3">
      <c r="A126" s="35">
        <v>101</v>
      </c>
      <c r="B126" s="222">
        <v>3.1163220405578613</v>
      </c>
      <c r="C126" s="223">
        <v>2.9908201694488525</v>
      </c>
      <c r="L126" s="15" t="s">
        <v>18</v>
      </c>
      <c r="M126" s="47">
        <v>5.6592599899999999E-2</v>
      </c>
      <c r="N126" s="14" t="s">
        <v>269</v>
      </c>
      <c r="O126" s="159">
        <v>23.550678253173828</v>
      </c>
      <c r="P126" s="158">
        <v>19.88444709777832</v>
      </c>
      <c r="Q126" s="158">
        <v>17.367225646972656</v>
      </c>
      <c r="R126" s="158">
        <v>15.113018989562988</v>
      </c>
      <c r="S126" s="172">
        <v>12.588077545166016</v>
      </c>
      <c r="T126" s="172">
        <v>10.466065406799316</v>
      </c>
      <c r="U126" s="186">
        <v>6.3397588729858398</v>
      </c>
      <c r="V126" s="186">
        <v>6.3073878288269043</v>
      </c>
      <c r="W126" s="265">
        <v>4.0401473045349121</v>
      </c>
      <c r="X126" s="265">
        <v>0</v>
      </c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v>101</v>
      </c>
      <c r="AK126" s="12">
        <v>32.409999999999997</v>
      </c>
      <c r="AL126" s="12">
        <v>33.770000000000003</v>
      </c>
    </row>
    <row r="127" spans="1:41" x14ac:dyDescent="0.3">
      <c r="A127" s="35">
        <v>102</v>
      </c>
      <c r="B127" s="235">
        <v>2.3155505657196045</v>
      </c>
      <c r="L127" s="15" t="s">
        <v>18</v>
      </c>
      <c r="M127" s="47">
        <v>4.6420246500000005E-2</v>
      </c>
      <c r="N127" s="135" t="s">
        <v>270</v>
      </c>
      <c r="O127" s="159">
        <v>24.620834350585938</v>
      </c>
      <c r="P127" s="159">
        <v>23.687717437744141</v>
      </c>
      <c r="Q127" s="159">
        <v>23.064577102661133</v>
      </c>
      <c r="R127" s="157">
        <v>22.35888671875</v>
      </c>
      <c r="S127" s="157">
        <v>21.764982223510742</v>
      </c>
      <c r="T127" s="158">
        <v>19.644933700561523</v>
      </c>
      <c r="U127" s="158">
        <v>17.523077011108398</v>
      </c>
      <c r="V127" s="158">
        <v>17.219541549682617</v>
      </c>
      <c r="W127" s="172">
        <v>14.289310455322266</v>
      </c>
      <c r="X127" s="172">
        <v>10.031929016113281</v>
      </c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v>102</v>
      </c>
      <c r="AK127" s="12">
        <v>44.05</v>
      </c>
    </row>
    <row r="128" spans="1:41" x14ac:dyDescent="0.3">
      <c r="A128" s="35">
        <v>103</v>
      </c>
      <c r="L128" s="15" t="s">
        <v>18</v>
      </c>
      <c r="M128" s="47">
        <v>3.79333658E-2</v>
      </c>
      <c r="N128" s="135" t="s">
        <v>271</v>
      </c>
      <c r="O128" s="166">
        <v>25.951717376708984</v>
      </c>
      <c r="P128" s="166">
        <v>25.215192794799805</v>
      </c>
      <c r="Q128" s="159">
        <v>24.74095344543457</v>
      </c>
      <c r="R128" s="159">
        <v>23.817481994628906</v>
      </c>
      <c r="S128" s="159">
        <v>23.366622924804688</v>
      </c>
      <c r="T128" s="159">
        <v>22.759971618652344</v>
      </c>
      <c r="U128" s="157">
        <v>20.184051513671875</v>
      </c>
      <c r="V128" s="158">
        <v>15.847647666931152</v>
      </c>
      <c r="W128" s="158">
        <v>15.283101081848145</v>
      </c>
      <c r="X128" s="172">
        <v>14.999521255493164</v>
      </c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v>103</v>
      </c>
    </row>
    <row r="129" spans="1:36" x14ac:dyDescent="0.3">
      <c r="A129" s="35">
        <v>104</v>
      </c>
      <c r="L129" s="15" t="s">
        <v>18</v>
      </c>
      <c r="M129" s="47">
        <v>3.08798401E-2</v>
      </c>
      <c r="N129" s="135" t="s">
        <v>253</v>
      </c>
      <c r="O129" s="166">
        <v>27.144826889038086</v>
      </c>
      <c r="P129" s="166">
        <v>26.276845932006836</v>
      </c>
      <c r="Q129" s="166">
        <v>25.537605285644531</v>
      </c>
      <c r="R129" s="166">
        <v>25.258657455444336</v>
      </c>
      <c r="S129" s="159">
        <v>24.841188430786133</v>
      </c>
      <c r="T129" s="159">
        <v>24.376216888427734</v>
      </c>
      <c r="U129" s="159">
        <v>24.040994644165039</v>
      </c>
      <c r="V129" s="159">
        <v>23.625511169433594</v>
      </c>
      <c r="W129" s="159">
        <v>23.145593643188477</v>
      </c>
      <c r="X129" s="158">
        <v>18.530750274658203</v>
      </c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v>104</v>
      </c>
    </row>
    <row r="130" spans="1:36" x14ac:dyDescent="0.3">
      <c r="A130" s="35">
        <v>105</v>
      </c>
      <c r="L130" s="15" t="s">
        <v>18</v>
      </c>
      <c r="M130" s="47">
        <v>2.50491646E-2</v>
      </c>
      <c r="N130" s="135" t="s">
        <v>254</v>
      </c>
      <c r="O130" s="166">
        <v>26.757177352905273</v>
      </c>
      <c r="P130" s="166">
        <v>25.864082336425781</v>
      </c>
      <c r="Q130" s="166">
        <v>25.068515777587891</v>
      </c>
      <c r="R130" s="159">
        <v>24.249088287353516</v>
      </c>
      <c r="S130" s="158">
        <v>17.235624313354492</v>
      </c>
      <c r="T130" s="172">
        <v>14.705533981323242</v>
      </c>
      <c r="U130" s="172">
        <v>14.49262809753418</v>
      </c>
      <c r="V130" s="186">
        <v>9.6234045028686523</v>
      </c>
      <c r="W130" s="186">
        <v>7.1329259872436523</v>
      </c>
      <c r="X130" s="186">
        <v>7.0593953132629395</v>
      </c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v>105</v>
      </c>
    </row>
    <row r="131" spans="1:36" x14ac:dyDescent="0.3">
      <c r="A131" s="35">
        <v>106</v>
      </c>
      <c r="L131" s="15" t="s">
        <v>18</v>
      </c>
      <c r="M131" s="47">
        <v>2.0239005399999999E-2</v>
      </c>
      <c r="N131" s="135" t="s">
        <v>255</v>
      </c>
      <c r="O131" s="163">
        <v>27.504785537719727</v>
      </c>
      <c r="P131" s="166">
        <v>26.389877319335938</v>
      </c>
      <c r="Q131" s="166">
        <v>25.425138473510742</v>
      </c>
      <c r="R131" s="157">
        <v>22.444494247436523</v>
      </c>
      <c r="S131" s="158">
        <v>19.568195343017578</v>
      </c>
      <c r="T131" s="172">
        <v>14.165166854858398</v>
      </c>
      <c r="U131" s="186">
        <v>9.446070671081543</v>
      </c>
      <c r="V131" s="265">
        <v>4.5710287094116211</v>
      </c>
      <c r="W131" s="265">
        <v>2.2876205444335938</v>
      </c>
      <c r="X131" s="265">
        <v>0</v>
      </c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v>106</v>
      </c>
    </row>
    <row r="132" spans="1:36" x14ac:dyDescent="0.3">
      <c r="A132" s="35">
        <v>107</v>
      </c>
      <c r="L132" s="15" t="s">
        <v>18</v>
      </c>
      <c r="M132" s="47">
        <v>1.6298119100000001E-2</v>
      </c>
      <c r="N132" s="14" t="s">
        <v>256</v>
      </c>
      <c r="O132" s="166">
        <v>26.743127822875977</v>
      </c>
      <c r="P132" s="166">
        <v>25.511913299560547</v>
      </c>
      <c r="Q132" s="158">
        <v>17.185890197753906</v>
      </c>
      <c r="R132" s="172">
        <v>10.018672943115234</v>
      </c>
      <c r="S132" s="265">
        <v>4.8651776313781738</v>
      </c>
      <c r="T132" s="57">
        <v>0</v>
      </c>
      <c r="U132" s="57">
        <v>0</v>
      </c>
      <c r="V132" s="57">
        <v>0</v>
      </c>
      <c r="W132" s="57">
        <v>0</v>
      </c>
      <c r="X132" s="57">
        <v>0</v>
      </c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v>107</v>
      </c>
    </row>
    <row r="133" spans="1:36" x14ac:dyDescent="0.3">
      <c r="A133" s="35">
        <v>108</v>
      </c>
      <c r="L133" s="15" t="s">
        <v>18</v>
      </c>
      <c r="M133" s="47">
        <v>1.3075219399999999E-2</v>
      </c>
      <c r="N133" s="14" t="s">
        <v>257</v>
      </c>
      <c r="O133" s="172">
        <v>10.397671699523926</v>
      </c>
      <c r="P133" s="186">
        <v>5.1721954345703125</v>
      </c>
      <c r="Q133" s="265">
        <v>2.6325688362121582</v>
      </c>
      <c r="R133" s="265">
        <v>2.5935530662536621</v>
      </c>
      <c r="S133" s="265">
        <v>2.4257826805114746</v>
      </c>
      <c r="T133" s="57">
        <v>0</v>
      </c>
      <c r="U133" s="57">
        <v>0</v>
      </c>
      <c r="V133" s="57">
        <v>0</v>
      </c>
      <c r="W133" s="57">
        <v>0</v>
      </c>
      <c r="X133" s="57">
        <v>0</v>
      </c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v>108</v>
      </c>
    </row>
    <row r="134" spans="1:36" x14ac:dyDescent="0.3">
      <c r="A134" s="35">
        <v>109</v>
      </c>
      <c r="L134" s="15" t="s">
        <v>18</v>
      </c>
      <c r="M134" s="47">
        <v>1.04518705E-2</v>
      </c>
      <c r="N134" s="14" t="s">
        <v>258</v>
      </c>
      <c r="O134" s="158">
        <v>16.636545181274414</v>
      </c>
      <c r="P134" s="265">
        <v>0</v>
      </c>
      <c r="Q134" s="57">
        <v>0</v>
      </c>
      <c r="R134" s="57">
        <v>0</v>
      </c>
      <c r="S134" s="57">
        <v>0</v>
      </c>
      <c r="T134" s="57">
        <v>0</v>
      </c>
      <c r="U134" s="57">
        <v>0</v>
      </c>
      <c r="V134" s="57">
        <v>0</v>
      </c>
      <c r="W134" s="57">
        <v>0</v>
      </c>
      <c r="X134" s="57">
        <v>0</v>
      </c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v>109</v>
      </c>
    </row>
    <row r="135" spans="1:36" x14ac:dyDescent="0.3">
      <c r="A135" s="35">
        <v>110</v>
      </c>
      <c r="L135" s="14" t="s">
        <v>17</v>
      </c>
      <c r="M135" s="47">
        <v>8.3255486999999993E-3</v>
      </c>
      <c r="N135" s="35" t="s">
        <v>125</v>
      </c>
      <c r="O135" s="57">
        <v>101.37942504882813</v>
      </c>
      <c r="P135" s="57">
        <v>90.749275207519531</v>
      </c>
      <c r="Q135" s="57">
        <v>83.8272705078125</v>
      </c>
      <c r="R135" s="57">
        <v>75.7254638671875</v>
      </c>
      <c r="S135" s="57">
        <v>70.788002014160156</v>
      </c>
      <c r="T135" s="57">
        <v>66.858695983886719</v>
      </c>
      <c r="U135" s="57">
        <v>66.04400634765625</v>
      </c>
      <c r="V135" s="57">
        <v>65.267669677734375</v>
      </c>
      <c r="W135" s="57">
        <v>64.445167541503906</v>
      </c>
      <c r="X135" s="57">
        <v>63.801303863525391</v>
      </c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v>110</v>
      </c>
    </row>
    <row r="136" spans="1:36" x14ac:dyDescent="0.3">
      <c r="A136" s="35">
        <v>111</v>
      </c>
      <c r="L136" s="14" t="s">
        <v>17</v>
      </c>
      <c r="M136" s="47">
        <v>6.6094650999999997E-3</v>
      </c>
      <c r="N136" s="35" t="s">
        <v>126</v>
      </c>
      <c r="O136" s="57">
        <v>178.56883239746094</v>
      </c>
      <c r="P136" s="57">
        <v>143.46705627441406</v>
      </c>
      <c r="Q136" s="57">
        <v>124.38594818115234</v>
      </c>
      <c r="R136" s="57">
        <v>120.4295654296875</v>
      </c>
      <c r="S136" s="57">
        <v>105.21661376953125</v>
      </c>
      <c r="T136" s="57">
        <v>101.16403961181641</v>
      </c>
      <c r="U136" s="57">
        <v>89.433868408203125</v>
      </c>
      <c r="V136" s="57">
        <v>82.372611999511719</v>
      </c>
      <c r="W136" s="57">
        <v>66.064079284667969</v>
      </c>
      <c r="X136" s="57">
        <v>62.920265197753906</v>
      </c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v>111</v>
      </c>
    </row>
    <row r="137" spans="1:36" x14ac:dyDescent="0.3">
      <c r="A137" s="35">
        <v>112</v>
      </c>
      <c r="L137" s="14" t="s">
        <v>17</v>
      </c>
      <c r="M137" s="47">
        <v>5.2290256999999998E-3</v>
      </c>
      <c r="N137" s="35" t="s">
        <v>127</v>
      </c>
      <c r="O137" s="57">
        <v>236.22703552246094</v>
      </c>
      <c r="P137" s="57">
        <v>190.44499206542969</v>
      </c>
      <c r="Q137" s="57">
        <v>163.10174560546875</v>
      </c>
      <c r="R137" s="57">
        <v>147.92445373535156</v>
      </c>
      <c r="S137" s="57">
        <v>128.71766662597656</v>
      </c>
      <c r="T137" s="57">
        <v>106.11789703369141</v>
      </c>
      <c r="U137" s="57">
        <v>92.026580810546875</v>
      </c>
      <c r="V137" s="57">
        <v>77.19451904296875</v>
      </c>
      <c r="W137" s="57">
        <v>66.178703308105469</v>
      </c>
      <c r="X137" s="57">
        <v>50.621597290039063</v>
      </c>
      <c r="Z137" s="35"/>
      <c r="AA137" s="35" t="s">
        <v>378</v>
      </c>
      <c r="AB137" s="35" t="s">
        <v>377</v>
      </c>
      <c r="AC137" s="35" t="s">
        <v>379</v>
      </c>
      <c r="AD137" s="35" t="s">
        <v>372</v>
      </c>
      <c r="AE137" s="35" t="s">
        <v>373</v>
      </c>
      <c r="AF137" s="35" t="s">
        <v>374</v>
      </c>
      <c r="AG137" s="35" t="s">
        <v>133</v>
      </c>
      <c r="AH137" s="35" t="s">
        <v>138</v>
      </c>
      <c r="AI137" s="35" t="s">
        <v>139</v>
      </c>
      <c r="AJ137" s="35">
        <v>112</v>
      </c>
    </row>
    <row r="138" spans="1:36" x14ac:dyDescent="0.3">
      <c r="A138" s="35">
        <v>113</v>
      </c>
      <c r="L138" s="14" t="s">
        <v>17</v>
      </c>
      <c r="M138" s="47">
        <v>4.1215213000000001E-3</v>
      </c>
      <c r="N138" s="47"/>
      <c r="O138" s="57">
        <v>516.17529296875</v>
      </c>
      <c r="P138" s="57">
        <v>424.66131591796875</v>
      </c>
      <c r="Q138" s="57">
        <v>371.31497192382813</v>
      </c>
      <c r="R138" s="57">
        <v>344.0794677734375</v>
      </c>
      <c r="S138" s="57">
        <v>304.7222900390625</v>
      </c>
      <c r="T138" s="57">
        <v>274.140625</v>
      </c>
      <c r="U138" s="57">
        <v>247.50445556640625</v>
      </c>
      <c r="V138" s="57">
        <v>224.83480834960938</v>
      </c>
      <c r="W138" s="57">
        <v>196.68795776367188</v>
      </c>
      <c r="X138" s="57">
        <v>177.34317016601563</v>
      </c>
      <c r="Z138" s="35">
        <v>1</v>
      </c>
      <c r="AA138" s="35">
        <f>Set!AI27/N30</f>
        <v>0.43186119873817036</v>
      </c>
      <c r="AB138" s="35">
        <f>O30/Set!AI28</f>
        <v>0.51024357260803521</v>
      </c>
      <c r="AC138" s="35">
        <f>(P30/(Set!AL27/Set!AI29))^(10/17)</f>
        <v>0.46133074034949134</v>
      </c>
      <c r="AD138" s="35">
        <f>Set!AI30/N31</f>
        <v>0.56756212222968438</v>
      </c>
      <c r="AE138" s="35">
        <f>O31/Set!AI31</f>
        <v>0.59707111098520882</v>
      </c>
      <c r="AF138" s="35">
        <f>(P31/(Set!AL28/Set!AI32))^(10/17)</f>
        <v>0.58068385860539018</v>
      </c>
      <c r="AG138" s="35">
        <f>Set!AI33/N32</f>
        <v>0.62915601023017897</v>
      </c>
      <c r="AH138" s="35">
        <f>O32/Set!AI34</f>
        <v>0.61945695234950338</v>
      </c>
      <c r="AI138" s="35">
        <f>(P32/(Set!AL29/Set!AI35))^(10/17)</f>
        <v>0.63725153746256991</v>
      </c>
      <c r="AJ138" s="35">
        <v>113</v>
      </c>
    </row>
    <row r="139" spans="1:36" x14ac:dyDescent="0.3">
      <c r="A139" s="35">
        <v>114</v>
      </c>
      <c r="L139" s="14" t="s">
        <v>17</v>
      </c>
      <c r="M139" s="47">
        <v>3.2382041999999998E-3</v>
      </c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Z139" s="35">
        <v>5</v>
      </c>
      <c r="AA139" s="35">
        <f>Set!AI27/N34</f>
        <v>0.41712370505789154</v>
      </c>
      <c r="AB139" s="35">
        <f>O34/Set!AI28</f>
        <v>0.45870552292161798</v>
      </c>
      <c r="AC139" s="35">
        <f>(P34/(Set!AL27/Set!AI29))^(10/17)</f>
        <v>0.44236322572227621</v>
      </c>
      <c r="AD139" s="35">
        <f>Set!AI30/N35</f>
        <v>0.52673896783844432</v>
      </c>
      <c r="AE139" s="35">
        <f>O35/Set!AI31</f>
        <v>0.56691692191928633</v>
      </c>
      <c r="AF139" s="35">
        <f>(P35/(Set!AL28/Set!AI32))^(10/17)</f>
        <v>0.57383456803064259</v>
      </c>
      <c r="AG139" s="35">
        <f>Set!AI33/N36</f>
        <v>0.59683904062110071</v>
      </c>
      <c r="AH139" s="35">
        <f>O36/Set!AI34</f>
        <v>0.60653181147397006</v>
      </c>
      <c r="AI139" s="35">
        <f>(P36/(Set!AL29/Set!AI35))^(10/17)</f>
        <v>0.62511832084329222</v>
      </c>
      <c r="AJ139" s="35">
        <v>114</v>
      </c>
    </row>
    <row r="140" spans="1:36" x14ac:dyDescent="0.3">
      <c r="A140" s="35">
        <v>115</v>
      </c>
      <c r="L140" s="14" t="s">
        <v>17</v>
      </c>
      <c r="M140" s="47">
        <v>2.5361352999999998E-3</v>
      </c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Z140" s="35">
        <v>25</v>
      </c>
      <c r="AA140" s="35">
        <f>Set!AI27/N38</f>
        <v>0.38746745160194718</v>
      </c>
      <c r="AB140" s="35">
        <f>O38/Set!AI28</f>
        <v>0.430025551763146</v>
      </c>
      <c r="AC140" s="35">
        <f>(P38/(Set!AL27/Set!AI29))^(10/17)</f>
        <v>0.41432119875205997</v>
      </c>
      <c r="AD140" s="35">
        <f>Set!AI30/N39</f>
        <v>0.47519174107644901</v>
      </c>
      <c r="AE140" s="35">
        <f>O39/Set!AI31</f>
        <v>0.53660216926541882</v>
      </c>
      <c r="AF140" s="35">
        <f>(P39/(Set!AL28/Set!AI32))^(10/17)</f>
        <v>0.54377105336692</v>
      </c>
      <c r="AG140" s="35">
        <f>Set!AI33/N40</f>
        <v>0.57034598339968612</v>
      </c>
      <c r="AH140" s="35">
        <f>O40/Set!AI34</f>
        <v>0.58215618728104968</v>
      </c>
      <c r="AI140" s="35">
        <f>(P40/(Set!AL29/Set!AI35))^(10/17)</f>
        <v>0.6007976632361961</v>
      </c>
      <c r="AJ140" s="35">
        <v>115</v>
      </c>
    </row>
    <row r="141" spans="1:36" x14ac:dyDescent="0.3">
      <c r="A141" s="35">
        <v>116</v>
      </c>
      <c r="L141" s="14" t="s">
        <v>17</v>
      </c>
      <c r="M141" s="47">
        <v>1.9787396E-3</v>
      </c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v>116</v>
      </c>
    </row>
    <row r="142" spans="1:36" x14ac:dyDescent="0.3">
      <c r="A142" s="35">
        <v>117</v>
      </c>
      <c r="L142" s="14" t="s">
        <v>17</v>
      </c>
      <c r="M142" s="47">
        <v>1.5399558999999998E-3</v>
      </c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Z142" s="35"/>
      <c r="AA142" s="35" t="s">
        <v>135</v>
      </c>
      <c r="AB142" s="35" t="s">
        <v>136</v>
      </c>
      <c r="AC142" s="35" t="s">
        <v>141</v>
      </c>
      <c r="AD142" s="35" t="s">
        <v>134</v>
      </c>
      <c r="AE142" s="35" t="s">
        <v>137</v>
      </c>
      <c r="AF142" s="35" t="s">
        <v>74</v>
      </c>
      <c r="AG142" s="35" t="s">
        <v>133</v>
      </c>
      <c r="AH142" s="35" t="s">
        <v>138</v>
      </c>
      <c r="AI142" s="35" t="s">
        <v>139</v>
      </c>
      <c r="AJ142" s="35">
        <v>117</v>
      </c>
    </row>
    <row r="143" spans="1:36" x14ac:dyDescent="0.3">
      <c r="A143" s="35">
        <v>118</v>
      </c>
      <c r="L143" s="14" t="s">
        <v>17</v>
      </c>
      <c r="M143" s="47">
        <v>1.1932078E-3</v>
      </c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Z143" s="35" t="s">
        <v>375</v>
      </c>
      <c r="AA143" s="35">
        <f>Set!AI16/T30</f>
        <v>0.46593059936908521</v>
      </c>
      <c r="AB143" s="35">
        <f>U30/Set!AI17</f>
        <v>0.63091300745901713</v>
      </c>
      <c r="AC143" s="35">
        <f>(V30/(Set!AL27/Set!AI18))^(10/17)</f>
        <v>0.50957237397617261</v>
      </c>
      <c r="AD143" s="35">
        <f>Set!AI19/T31</f>
        <v>0.63948959032907993</v>
      </c>
      <c r="AE143" s="35">
        <f>U31/Set!AI20</f>
        <v>0.69616048872493852</v>
      </c>
      <c r="AF143" s="35">
        <f>(V31/(Set!AL28/Set!AI21))^(10/17)</f>
        <v>0.6500611957455954</v>
      </c>
      <c r="AG143" s="35">
        <f>Set!AI22/T32</f>
        <v>0.71245889660211903</v>
      </c>
      <c r="AH143" s="35">
        <f>U32/Set!AI23</f>
        <v>0.71362864608709864</v>
      </c>
      <c r="AI143" s="35">
        <f>(V32/(Set!AL29/Set!AI24))^(10/17)</f>
        <v>0.72639185739827372</v>
      </c>
      <c r="AJ143" s="35">
        <v>118</v>
      </c>
    </row>
    <row r="144" spans="1:36" x14ac:dyDescent="0.3">
      <c r="A144" s="35">
        <v>119</v>
      </c>
      <c r="L144" s="17" t="s">
        <v>45</v>
      </c>
      <c r="M144" s="47">
        <v>9.218815E-4</v>
      </c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Z144" s="35" t="s">
        <v>376</v>
      </c>
      <c r="AA144" s="35">
        <f>Set!AI16/T34</f>
        <v>0.4500304692260817</v>
      </c>
      <c r="AB144" s="35">
        <f>U34/Set!AI17</f>
        <v>0.56718652922034196</v>
      </c>
      <c r="AC144" s="35">
        <f>(V34/(Set!AL27/Set!AI18))^(10/17)</f>
        <v>0.48862141491002503</v>
      </c>
      <c r="AD144" s="35">
        <f>Set!AI19/T35</f>
        <v>0.59349289454001497</v>
      </c>
      <c r="AE144" s="35">
        <f>U35/Set!AI20</f>
        <v>0.66100193790743489</v>
      </c>
      <c r="AF144" s="35">
        <f>(V35/(Set!AL28/Set!AI21))^(10/17)</f>
        <v>0.64239358460909368</v>
      </c>
      <c r="AG144" s="35">
        <f>Set!AI22/T36</f>
        <v>0.67586302509358098</v>
      </c>
      <c r="AH144" s="35">
        <f>U36/Set!AI23</f>
        <v>0.6987385867399436</v>
      </c>
      <c r="AI144" s="35">
        <f>(V36/(Set!AL29/Set!AI24))^(10/17)</f>
        <v>0.71256141645279314</v>
      </c>
      <c r="AJ144" s="35">
        <v>119</v>
      </c>
    </row>
    <row r="145" spans="1:36" x14ac:dyDescent="0.3">
      <c r="A145" s="35">
        <v>120</v>
      </c>
      <c r="L145" s="17" t="s">
        <v>45</v>
      </c>
      <c r="M145" s="47">
        <v>7.0978559999999998E-4</v>
      </c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v>120</v>
      </c>
    </row>
    <row r="146" spans="1:36" x14ac:dyDescent="0.3">
      <c r="A146" s="35">
        <v>121</v>
      </c>
      <c r="L146" s="17" t="s">
        <v>45</v>
      </c>
      <c r="M146" s="47">
        <v>5.4550870000000002E-4</v>
      </c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v>121</v>
      </c>
    </row>
    <row r="147" spans="1:36" x14ac:dyDescent="0.3">
      <c r="A147" s="35">
        <v>122</v>
      </c>
      <c r="L147" s="17" t="s">
        <v>45</v>
      </c>
      <c r="M147" s="47">
        <v>4.1724540000000004E-4</v>
      </c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v>122</v>
      </c>
    </row>
    <row r="148" spans="1:36" x14ac:dyDescent="0.3">
      <c r="A148" s="35">
        <v>123</v>
      </c>
      <c r="L148" s="17" t="s">
        <v>45</v>
      </c>
      <c r="M148" s="47">
        <v>3.1803939999999997E-4</v>
      </c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v>123</v>
      </c>
    </row>
    <row r="149" spans="1:36" x14ac:dyDescent="0.3">
      <c r="A149" s="35">
        <v>124</v>
      </c>
      <c r="L149" s="17" t="s">
        <v>45</v>
      </c>
      <c r="M149" s="47">
        <v>2.4180470000000003E-4</v>
      </c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v>124</v>
      </c>
    </row>
    <row r="150" spans="1:36" x14ac:dyDescent="0.3">
      <c r="A150" s="35">
        <v>125</v>
      </c>
      <c r="L150" s="17" t="s">
        <v>45</v>
      </c>
      <c r="M150" s="47">
        <v>1.8346780000000001E-4</v>
      </c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v>125</v>
      </c>
    </row>
    <row r="151" spans="1:36" x14ac:dyDescent="0.3">
      <c r="A151" s="35">
        <v>126</v>
      </c>
      <c r="L151" s="17" t="s">
        <v>45</v>
      </c>
      <c r="M151" s="47">
        <v>1.384841E-4</v>
      </c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v>126</v>
      </c>
    </row>
    <row r="152" spans="1:36" x14ac:dyDescent="0.3">
      <c r="A152" s="35">
        <v>127</v>
      </c>
      <c r="L152" s="17" t="s">
        <v>45</v>
      </c>
      <c r="M152" s="47">
        <v>1.043914E-4</v>
      </c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v>127</v>
      </c>
    </row>
    <row r="153" spans="1:36" x14ac:dyDescent="0.3">
      <c r="A153" s="35">
        <v>128</v>
      </c>
      <c r="L153" s="18" t="s">
        <v>44</v>
      </c>
      <c r="M153" s="47">
        <v>7.8410400000000004E-5</v>
      </c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v>128</v>
      </c>
    </row>
    <row r="154" spans="1:36" hidden="1" x14ac:dyDescent="0.3">
      <c r="A154" s="35">
        <v>129</v>
      </c>
      <c r="L154" s="18" t="s">
        <v>44</v>
      </c>
      <c r="M154" s="47">
        <v>5.8763800000000001E-5</v>
      </c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v>129</v>
      </c>
    </row>
    <row r="155" spans="1:36" hidden="1" x14ac:dyDescent="0.3">
      <c r="A155" s="35">
        <v>130</v>
      </c>
      <c r="L155" s="18" t="s">
        <v>44</v>
      </c>
      <c r="M155" s="47">
        <v>4.3746299999999998E-5</v>
      </c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v>130</v>
      </c>
    </row>
    <row r="156" spans="1:36" hidden="1" x14ac:dyDescent="0.3">
      <c r="A156" s="35">
        <v>131</v>
      </c>
      <c r="L156" s="18" t="s">
        <v>44</v>
      </c>
      <c r="M156" s="47">
        <v>3.25877E-5</v>
      </c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v>131</v>
      </c>
    </row>
    <row r="157" spans="1:36" hidden="1" x14ac:dyDescent="0.3">
      <c r="A157" s="35">
        <v>132</v>
      </c>
      <c r="L157" s="18" t="s">
        <v>44</v>
      </c>
      <c r="M157" s="47">
        <v>2.4133600000000002E-5</v>
      </c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v>132</v>
      </c>
    </row>
    <row r="158" spans="1:36" hidden="1" x14ac:dyDescent="0.3">
      <c r="A158" s="35">
        <v>133</v>
      </c>
      <c r="L158" s="18" t="s">
        <v>44</v>
      </c>
      <c r="M158" s="47">
        <v>1.7877300000000002E-5</v>
      </c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v>133</v>
      </c>
    </row>
    <row r="159" spans="1:36" hidden="1" x14ac:dyDescent="0.3">
      <c r="A159" s="35">
        <v>134</v>
      </c>
      <c r="L159" s="18" t="s">
        <v>44</v>
      </c>
      <c r="M159" s="47">
        <v>1.3160799999999999E-5</v>
      </c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v>134</v>
      </c>
    </row>
    <row r="160" spans="1:36" hidden="1" x14ac:dyDescent="0.3">
      <c r="A160" s="35">
        <v>135</v>
      </c>
      <c r="L160" s="63" t="s">
        <v>48</v>
      </c>
      <c r="M160" s="47">
        <v>9.7131000000000002E-6</v>
      </c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v>135</v>
      </c>
    </row>
    <row r="161" spans="1:36" hidden="1" x14ac:dyDescent="0.3">
      <c r="A161" s="35">
        <v>136</v>
      </c>
      <c r="L161" s="63" t="s">
        <v>48</v>
      </c>
      <c r="M161" s="47">
        <v>7.0955000000000001E-6</v>
      </c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v>136</v>
      </c>
    </row>
    <row r="162" spans="1:36" hidden="1" x14ac:dyDescent="0.3">
      <c r="A162" s="35">
        <v>137</v>
      </c>
      <c r="L162" s="63" t="s">
        <v>48</v>
      </c>
      <c r="M162" s="47">
        <v>5.1990999999999999E-6</v>
      </c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v>137</v>
      </c>
    </row>
    <row r="163" spans="1:36" hidden="1" x14ac:dyDescent="0.3">
      <c r="A163" s="35">
        <v>138</v>
      </c>
      <c r="L163" s="63" t="s">
        <v>48</v>
      </c>
      <c r="M163" s="47">
        <v>3.8045000000000002E-6</v>
      </c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v>138</v>
      </c>
    </row>
    <row r="164" spans="1:36" hidden="1" x14ac:dyDescent="0.3">
      <c r="A164" s="35">
        <v>139</v>
      </c>
      <c r="L164" s="63" t="s">
        <v>48</v>
      </c>
      <c r="M164" s="47">
        <v>2.7360000000000001E-6</v>
      </c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v>139</v>
      </c>
    </row>
    <row r="165" spans="1:36" hidden="1" x14ac:dyDescent="0.3">
      <c r="A165" s="35">
        <v>140</v>
      </c>
      <c r="L165" s="63" t="s">
        <v>48</v>
      </c>
      <c r="M165" s="47">
        <v>2.0021000000000003E-6</v>
      </c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v>140</v>
      </c>
    </row>
    <row r="166" spans="1:36" hidden="1" x14ac:dyDescent="0.3">
      <c r="A166" s="35">
        <v>141</v>
      </c>
      <c r="L166" s="63" t="s">
        <v>48</v>
      </c>
      <c r="M166" s="47">
        <v>1.4475000000000001E-6</v>
      </c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v>141</v>
      </c>
    </row>
    <row r="167" spans="1:36" hidden="1" x14ac:dyDescent="0.3">
      <c r="A167" s="35">
        <v>142</v>
      </c>
      <c r="L167" s="63" t="s">
        <v>48</v>
      </c>
      <c r="M167" s="47">
        <v>1.0318E-6</v>
      </c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v>142</v>
      </c>
    </row>
    <row r="168" spans="1:36" hidden="1" x14ac:dyDescent="0.3"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</row>
    <row r="169" spans="1:36" hidden="1" x14ac:dyDescent="0.3"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</row>
    <row r="170" spans="1:36" hidden="1" x14ac:dyDescent="0.3"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</row>
    <row r="171" spans="1:36" hidden="1" x14ac:dyDescent="0.3"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</row>
    <row r="172" spans="1:36" hidden="1" x14ac:dyDescent="0.3"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</row>
    <row r="173" spans="1:36" hidden="1" x14ac:dyDescent="0.3"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</row>
    <row r="174" spans="1:36" hidden="1" x14ac:dyDescent="0.3"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</row>
    <row r="175" spans="1:36" hidden="1" x14ac:dyDescent="0.3"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</row>
    <row r="176" spans="1:36" hidden="1" x14ac:dyDescent="0.3"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</row>
    <row r="177" spans="14:35" hidden="1" x14ac:dyDescent="0.3"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</row>
    <row r="178" spans="14:35" hidden="1" x14ac:dyDescent="0.3"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</row>
    <row r="179" spans="14:35" hidden="1" x14ac:dyDescent="0.3"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</row>
    <row r="180" spans="14:35" hidden="1" x14ac:dyDescent="0.3"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</row>
    <row r="181" spans="14:35" hidden="1" x14ac:dyDescent="0.3"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</row>
    <row r="182" spans="14:35" hidden="1" x14ac:dyDescent="0.3"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</row>
    <row r="183" spans="14:35" hidden="1" x14ac:dyDescent="0.3"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</row>
    <row r="184" spans="14:35" hidden="1" x14ac:dyDescent="0.3"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</row>
    <row r="185" spans="14:35" hidden="1" x14ac:dyDescent="0.3"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</row>
    <row r="186" spans="14:35" hidden="1" x14ac:dyDescent="0.3"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</row>
    <row r="187" spans="14:35" hidden="1" x14ac:dyDescent="0.3"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</row>
    <row r="188" spans="14:35" hidden="1" x14ac:dyDescent="0.3"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</row>
    <row r="189" spans="14:35" hidden="1" x14ac:dyDescent="0.3"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</row>
    <row r="190" spans="14:35" hidden="1" x14ac:dyDescent="0.3"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</row>
    <row r="191" spans="14:35" hidden="1" x14ac:dyDescent="0.3"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</row>
    <row r="192" spans="14:35" hidden="1" x14ac:dyDescent="0.3"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</row>
    <row r="193" spans="14:35" hidden="1" x14ac:dyDescent="0.3"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</row>
    <row r="194" spans="14:35" hidden="1" x14ac:dyDescent="0.3"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</row>
    <row r="195" spans="14:35" hidden="1" x14ac:dyDescent="0.3"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</row>
    <row r="196" spans="14:35" hidden="1" x14ac:dyDescent="0.3"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</row>
    <row r="197" spans="14:35" hidden="1" x14ac:dyDescent="0.3"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</row>
    <row r="198" spans="14:35" hidden="1" x14ac:dyDescent="0.3"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</row>
    <row r="199" spans="14:35" hidden="1" x14ac:dyDescent="0.3"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</row>
    <row r="200" spans="14:35" hidden="1" x14ac:dyDescent="0.3"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</row>
    <row r="201" spans="14:35" hidden="1" x14ac:dyDescent="0.3"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</row>
    <row r="202" spans="14:35" hidden="1" x14ac:dyDescent="0.3"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</row>
    <row r="203" spans="14:35" hidden="1" x14ac:dyDescent="0.3"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</row>
    <row r="204" spans="14:35" hidden="1" x14ac:dyDescent="0.3"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</row>
    <row r="205" spans="14:35" hidden="1" x14ac:dyDescent="0.3"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</row>
    <row r="206" spans="14:35" hidden="1" x14ac:dyDescent="0.3"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</row>
    <row r="207" spans="14:35" hidden="1" x14ac:dyDescent="0.3"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</row>
    <row r="208" spans="14:35" hidden="1" x14ac:dyDescent="0.3"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</row>
    <row r="209" spans="14:35" hidden="1" x14ac:dyDescent="0.3"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</row>
    <row r="210" spans="14:35" hidden="1" x14ac:dyDescent="0.3"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</row>
    <row r="211" spans="14:35" hidden="1" x14ac:dyDescent="0.3"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</row>
    <row r="212" spans="14:35" hidden="1" x14ac:dyDescent="0.3"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</row>
    <row r="213" spans="14:35" hidden="1" x14ac:dyDescent="0.3"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</row>
    <row r="214" spans="14:35" hidden="1" x14ac:dyDescent="0.3"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</row>
    <row r="215" spans="14:35" hidden="1" x14ac:dyDescent="0.3"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</row>
    <row r="216" spans="14:35" hidden="1" x14ac:dyDescent="0.3"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</row>
    <row r="217" spans="14:35" hidden="1" x14ac:dyDescent="0.3"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</row>
    <row r="218" spans="14:35" hidden="1" x14ac:dyDescent="0.3"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</row>
    <row r="219" spans="14:35" hidden="1" x14ac:dyDescent="0.3"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</row>
    <row r="220" spans="14:35" hidden="1" x14ac:dyDescent="0.3"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</row>
    <row r="221" spans="14:35" hidden="1" x14ac:dyDescent="0.3"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</row>
    <row r="222" spans="14:35" hidden="1" x14ac:dyDescent="0.3"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</row>
    <row r="223" spans="14:35" hidden="1" x14ac:dyDescent="0.3"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</row>
    <row r="224" spans="14:35" hidden="1" x14ac:dyDescent="0.3"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</row>
    <row r="225" spans="14:35" hidden="1" x14ac:dyDescent="0.3"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</row>
    <row r="226" spans="14:35" hidden="1" x14ac:dyDescent="0.3"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</row>
    <row r="227" spans="14:35" hidden="1" x14ac:dyDescent="0.3"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</row>
    <row r="228" spans="14:35" hidden="1" x14ac:dyDescent="0.3"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</row>
    <row r="229" spans="14:35" hidden="1" x14ac:dyDescent="0.3"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</row>
    <row r="230" spans="14:35" hidden="1" x14ac:dyDescent="0.3"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</row>
    <row r="231" spans="14:35" hidden="1" x14ac:dyDescent="0.3"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</row>
    <row r="232" spans="14:35" hidden="1" x14ac:dyDescent="0.3"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</row>
    <row r="233" spans="14:35" hidden="1" x14ac:dyDescent="0.3"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</row>
    <row r="234" spans="14:35" hidden="1" x14ac:dyDescent="0.3"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</row>
    <row r="235" spans="14:35" hidden="1" x14ac:dyDescent="0.3"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</row>
    <row r="236" spans="14:35" hidden="1" x14ac:dyDescent="0.3"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</row>
    <row r="237" spans="14:35" hidden="1" x14ac:dyDescent="0.3"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</row>
    <row r="238" spans="14:35" hidden="1" x14ac:dyDescent="0.3"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</row>
    <row r="239" spans="14:35" hidden="1" x14ac:dyDescent="0.3"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</row>
    <row r="240" spans="14:35" hidden="1" x14ac:dyDescent="0.3"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</row>
    <row r="241" spans="1:36" hidden="1" x14ac:dyDescent="0.3"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</row>
    <row r="242" spans="1:36" x14ac:dyDescent="0.3">
      <c r="A242" s="35">
        <v>100</v>
      </c>
      <c r="L242" s="17" t="s">
        <v>45</v>
      </c>
      <c r="M242" s="47">
        <v>3.4387600000000001E-4</v>
      </c>
      <c r="N242" s="48"/>
      <c r="O242" s="48" t="s">
        <v>28</v>
      </c>
      <c r="P242" s="48" t="s">
        <v>29</v>
      </c>
      <c r="Q242" s="48" t="s">
        <v>30</v>
      </c>
      <c r="R242" s="48" t="s">
        <v>31</v>
      </c>
      <c r="S242" s="48" t="s">
        <v>32</v>
      </c>
      <c r="T242" s="48" t="s">
        <v>33</v>
      </c>
      <c r="U242" s="48" t="s">
        <v>34</v>
      </c>
      <c r="V242" s="48" t="s">
        <v>35</v>
      </c>
      <c r="W242" s="48" t="s">
        <v>36</v>
      </c>
      <c r="X242" s="48" t="s">
        <v>37</v>
      </c>
      <c r="Z242" s="48" t="s">
        <v>28</v>
      </c>
      <c r="AA242" s="48" t="s">
        <v>29</v>
      </c>
      <c r="AB242" s="48" t="s">
        <v>30</v>
      </c>
      <c r="AC242" s="48" t="s">
        <v>31</v>
      </c>
      <c r="AD242" s="48" t="s">
        <v>32</v>
      </c>
      <c r="AE242" s="48" t="s">
        <v>33</v>
      </c>
      <c r="AF242" s="48" t="s">
        <v>34</v>
      </c>
      <c r="AG242" s="48" t="s">
        <v>35</v>
      </c>
      <c r="AH242" s="48" t="s">
        <v>36</v>
      </c>
      <c r="AI242" s="48" t="s">
        <v>37</v>
      </c>
      <c r="AJ242" s="35">
        <v>100</v>
      </c>
    </row>
    <row r="243" spans="1:36" x14ac:dyDescent="0.3">
      <c r="A243" s="35">
        <v>101</v>
      </c>
      <c r="L243" s="17" t="s">
        <v>45</v>
      </c>
      <c r="M243" s="47">
        <v>4.525779E-4</v>
      </c>
      <c r="N243" s="47"/>
      <c r="O243" s="45"/>
      <c r="P243" s="45"/>
      <c r="Q243" s="45"/>
      <c r="R243" s="181">
        <v>2.66</v>
      </c>
      <c r="S243" s="181">
        <v>2.83</v>
      </c>
      <c r="T243" s="311">
        <v>1.84</v>
      </c>
      <c r="U243" s="182">
        <v>3.07</v>
      </c>
      <c r="V243" s="183">
        <v>2.04</v>
      </c>
      <c r="W243" s="181">
        <v>2.92</v>
      </c>
      <c r="X243" s="181">
        <v>2.88</v>
      </c>
      <c r="Z243" s="2"/>
      <c r="AA243" s="2"/>
      <c r="AB243" s="2"/>
      <c r="AC243" s="88">
        <v>20.470335006713867</v>
      </c>
      <c r="AD243" s="88">
        <v>24.565498352050781</v>
      </c>
      <c r="AE243" s="171">
        <v>63.838428497314453</v>
      </c>
      <c r="AF243" s="87">
        <v>32.086215972900391</v>
      </c>
      <c r="AG243" s="82">
        <v>74.994476318359375</v>
      </c>
      <c r="AH243" s="86">
        <v>46.584522247314453</v>
      </c>
      <c r="AI243" s="85">
        <v>53.650989532470703</v>
      </c>
      <c r="AJ243" s="35">
        <v>101</v>
      </c>
    </row>
    <row r="244" spans="1:36" x14ac:dyDescent="0.3">
      <c r="A244" s="35">
        <v>102</v>
      </c>
      <c r="L244" s="17" t="s">
        <v>45</v>
      </c>
      <c r="M244" s="47">
        <v>5.9260880000000006E-4</v>
      </c>
      <c r="N244" s="137" t="s">
        <v>265</v>
      </c>
      <c r="O244" s="182">
        <v>3.29</v>
      </c>
      <c r="P244" s="210">
        <v>3.17</v>
      </c>
      <c r="Q244" s="305">
        <v>3.54</v>
      </c>
      <c r="R244" s="210">
        <v>3.33</v>
      </c>
      <c r="S244" s="305">
        <v>3.73</v>
      </c>
      <c r="T244" s="309">
        <v>3.98</v>
      </c>
      <c r="U244" s="180">
        <v>4.34</v>
      </c>
      <c r="V244" s="213">
        <v>4.58</v>
      </c>
      <c r="W244" s="213">
        <v>4.58</v>
      </c>
      <c r="X244" s="310">
        <v>4.68</v>
      </c>
      <c r="Y244" s="137"/>
      <c r="Z244" s="86">
        <v>47.541126251220703</v>
      </c>
      <c r="AA244" s="192">
        <v>55.705028533935547</v>
      </c>
      <c r="AB244" s="192">
        <v>50.3707275390625</v>
      </c>
      <c r="AC244" s="188">
        <v>60.546730041503906</v>
      </c>
      <c r="AD244" s="192">
        <v>53.768203735351563</v>
      </c>
      <c r="AE244" s="85">
        <v>51.593208312988281</v>
      </c>
      <c r="AF244" s="86">
        <v>47.499595642089844</v>
      </c>
      <c r="AG244" s="200">
        <v>46.055355072021484</v>
      </c>
      <c r="AH244" s="200">
        <v>48.764492034912109</v>
      </c>
      <c r="AI244" s="86">
        <v>49.617877960205078</v>
      </c>
      <c r="AJ244" s="35">
        <v>102</v>
      </c>
    </row>
    <row r="245" spans="1:36" x14ac:dyDescent="0.3">
      <c r="A245" s="35">
        <v>103</v>
      </c>
      <c r="L245" s="17" t="s">
        <v>45</v>
      </c>
      <c r="M245" s="47">
        <v>7.7136369999999998E-4</v>
      </c>
      <c r="N245" s="137" t="s">
        <v>266</v>
      </c>
      <c r="O245" s="310">
        <v>4.8099999999999996</v>
      </c>
      <c r="P245" s="342">
        <v>5.35</v>
      </c>
      <c r="Q245" s="201">
        <v>5.64</v>
      </c>
      <c r="R245" s="206">
        <v>6.21</v>
      </c>
      <c r="S245" s="201">
        <v>5.91</v>
      </c>
      <c r="T245" s="176">
        <v>6.18</v>
      </c>
      <c r="U245" s="179">
        <v>7.02</v>
      </c>
      <c r="V245" s="308">
        <v>5.78</v>
      </c>
      <c r="W245" s="202">
        <v>7.22</v>
      </c>
      <c r="X245" s="179">
        <v>7.47</v>
      </c>
      <c r="Y245" s="137"/>
      <c r="Z245" s="86">
        <v>49.852375030517578</v>
      </c>
      <c r="AA245" s="200">
        <v>43.683795928955078</v>
      </c>
      <c r="AB245" s="200">
        <v>41.836055755615234</v>
      </c>
      <c r="AC245" s="209">
        <v>37.134246826171875</v>
      </c>
      <c r="AD245" s="200">
        <v>42.151695251464844</v>
      </c>
      <c r="AE245" s="86">
        <v>40.696975708007813</v>
      </c>
      <c r="AF245" s="87">
        <v>34.080249786376953</v>
      </c>
      <c r="AG245" s="86">
        <v>49.248035430908203</v>
      </c>
      <c r="AH245" s="209">
        <v>34.990272521972656</v>
      </c>
      <c r="AI245" s="87">
        <v>34.202316284179688</v>
      </c>
      <c r="AJ245" s="35">
        <v>103</v>
      </c>
    </row>
    <row r="246" spans="1:36" x14ac:dyDescent="0.3">
      <c r="A246" s="35">
        <v>104</v>
      </c>
      <c r="L246" s="17" t="s">
        <v>45</v>
      </c>
      <c r="M246" s="47">
        <v>9.9748299999999996E-4</v>
      </c>
      <c r="N246" s="47" t="s">
        <v>267</v>
      </c>
      <c r="O246" s="195">
        <v>8.33</v>
      </c>
      <c r="P246" s="175">
        <v>8.15</v>
      </c>
      <c r="Q246" s="174">
        <v>9.5</v>
      </c>
      <c r="R246" s="175">
        <v>8.73</v>
      </c>
      <c r="S246" s="199">
        <v>9.31</v>
      </c>
      <c r="T246" s="211">
        <v>10.1</v>
      </c>
      <c r="U246" s="45"/>
      <c r="V246" s="45">
        <v>12.07</v>
      </c>
      <c r="W246" s="45"/>
      <c r="X246" s="45"/>
      <c r="Z246" s="209">
        <v>29.398639678955078</v>
      </c>
      <c r="AA246" s="87">
        <v>31.527992248535156</v>
      </c>
      <c r="AB246" s="87">
        <v>25.079700469970703</v>
      </c>
      <c r="AC246" s="87">
        <v>29.86016845703125</v>
      </c>
      <c r="AD246" s="209">
        <v>27.578264236450195</v>
      </c>
      <c r="AE246" s="88">
        <v>24.718616485595703</v>
      </c>
      <c r="AF246" s="2"/>
      <c r="AG246" s="88">
        <v>19.301980972290039</v>
      </c>
      <c r="AH246" s="2"/>
      <c r="AI246" s="2"/>
      <c r="AJ246" s="35">
        <v>104</v>
      </c>
    </row>
    <row r="247" spans="1:36" x14ac:dyDescent="0.3">
      <c r="A247" s="35">
        <v>105</v>
      </c>
      <c r="L247" s="14" t="s">
        <v>17</v>
      </c>
      <c r="M247" s="47">
        <v>1.2838155E-3</v>
      </c>
      <c r="N247" s="47" t="s">
        <v>259</v>
      </c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35">
        <v>105</v>
      </c>
    </row>
    <row r="248" spans="1:36" x14ac:dyDescent="0.3">
      <c r="A248" s="35">
        <v>106</v>
      </c>
      <c r="L248" s="14" t="s">
        <v>17</v>
      </c>
      <c r="M248" s="47">
        <v>1.6436043E-3</v>
      </c>
      <c r="N248" s="47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35">
        <v>106</v>
      </c>
    </row>
    <row r="249" spans="1:36" x14ac:dyDescent="0.3">
      <c r="A249" s="35">
        <v>107</v>
      </c>
      <c r="L249" s="14" t="s">
        <v>17</v>
      </c>
      <c r="M249" s="47">
        <v>2.0916621999999998E-3</v>
      </c>
      <c r="N249" s="47" t="s">
        <v>267</v>
      </c>
      <c r="O249" s="45"/>
      <c r="P249" s="179">
        <v>20.85</v>
      </c>
      <c r="Q249" s="45"/>
      <c r="R249" s="45"/>
      <c r="S249" s="45"/>
      <c r="T249" s="178">
        <v>16.43</v>
      </c>
      <c r="U249" s="45"/>
      <c r="V249" s="45"/>
      <c r="W249" s="178">
        <v>16.78</v>
      </c>
      <c r="X249" s="211"/>
      <c r="Z249" s="2"/>
      <c r="AA249" s="87">
        <v>28.734020233154297</v>
      </c>
      <c r="AB249" s="2"/>
      <c r="AC249" s="2"/>
      <c r="AD249" s="2"/>
      <c r="AE249" s="86">
        <v>48.640628814697266</v>
      </c>
      <c r="AF249" s="2"/>
      <c r="AG249" s="2"/>
      <c r="AH249" s="85">
        <v>50.950946807861328</v>
      </c>
      <c r="AI249" s="88"/>
      <c r="AJ249" s="35">
        <v>107</v>
      </c>
    </row>
    <row r="250" spans="1:36" x14ac:dyDescent="0.3">
      <c r="A250" s="35">
        <v>108</v>
      </c>
      <c r="L250" s="14" t="s">
        <v>17</v>
      </c>
      <c r="M250" s="47">
        <v>2.6509366000000002E-3</v>
      </c>
      <c r="N250" s="137" t="s">
        <v>259</v>
      </c>
      <c r="O250" s="310">
        <v>15.62</v>
      </c>
      <c r="P250" s="177">
        <v>19.32</v>
      </c>
      <c r="Q250" s="205">
        <v>14.89</v>
      </c>
      <c r="R250" s="206">
        <v>18.2</v>
      </c>
      <c r="S250" s="176">
        <v>18.72</v>
      </c>
      <c r="T250" s="175">
        <v>22</v>
      </c>
      <c r="U250" s="308">
        <v>17.600000000000001</v>
      </c>
      <c r="V250" s="206">
        <v>18.760000000000002</v>
      </c>
      <c r="W250" s="308">
        <v>17.88</v>
      </c>
      <c r="X250" s="308">
        <v>17.489999999999998</v>
      </c>
      <c r="Y250" s="137"/>
      <c r="Z250" s="84">
        <v>60.578323364257813</v>
      </c>
      <c r="AA250" s="86">
        <v>43.260025024414063</v>
      </c>
      <c r="AB250" s="194">
        <v>68.999076843261719</v>
      </c>
      <c r="AC250" s="192">
        <v>50.218307495117188</v>
      </c>
      <c r="AD250" s="86">
        <v>48.983268737792969</v>
      </c>
      <c r="AE250" s="86">
        <v>38.072288513183594</v>
      </c>
      <c r="AF250" s="84">
        <v>56.872367858886719</v>
      </c>
      <c r="AG250" s="192">
        <v>52.133522033691406</v>
      </c>
      <c r="AH250" s="84">
        <v>57.773876190185547</v>
      </c>
      <c r="AI250" s="84">
        <v>61.230587005615234</v>
      </c>
      <c r="AJ250" s="35">
        <v>108</v>
      </c>
    </row>
    <row r="251" spans="1:36" x14ac:dyDescent="0.3">
      <c r="A251" s="35">
        <v>109</v>
      </c>
      <c r="L251" s="14" t="s">
        <v>17</v>
      </c>
      <c r="M251" s="47">
        <v>3.3390911000000002E-3</v>
      </c>
      <c r="N251" s="137" t="s">
        <v>298</v>
      </c>
      <c r="O251" s="206">
        <v>18.2</v>
      </c>
      <c r="P251" s="177">
        <v>19.350000000000001</v>
      </c>
      <c r="Q251" s="206">
        <v>18.100000000000001</v>
      </c>
      <c r="R251" s="201">
        <v>17.190000000000001</v>
      </c>
      <c r="S251" s="179">
        <v>20.059999999999999</v>
      </c>
      <c r="T251" s="176">
        <v>18.420000000000002</v>
      </c>
      <c r="U251" s="201">
        <v>17.850000000000001</v>
      </c>
      <c r="V251" s="177">
        <v>19.850000000000001</v>
      </c>
      <c r="W251" s="198">
        <v>19.34</v>
      </c>
      <c r="X251" s="179">
        <v>20.84</v>
      </c>
      <c r="Y251" s="137"/>
      <c r="Z251" s="188">
        <v>58.393383026123047</v>
      </c>
      <c r="AA251" s="85">
        <v>53.669498443603516</v>
      </c>
      <c r="AB251" s="188">
        <v>61.300605773925781</v>
      </c>
      <c r="AC251" s="193">
        <v>68.205894470214844</v>
      </c>
      <c r="AD251" s="85">
        <v>53.449813842773438</v>
      </c>
      <c r="AE251" s="171">
        <v>62.933998107910156</v>
      </c>
      <c r="AF251" s="193">
        <v>67.595535278320313</v>
      </c>
      <c r="AG251" s="84">
        <v>57.437694549560547</v>
      </c>
      <c r="AH251" s="188">
        <v>61.089561462402344</v>
      </c>
      <c r="AI251" s="85">
        <v>54.731945037841797</v>
      </c>
      <c r="AJ251" s="35">
        <v>109</v>
      </c>
    </row>
    <row r="252" spans="1:36" x14ac:dyDescent="0.3">
      <c r="A252" s="35">
        <v>110</v>
      </c>
      <c r="L252" s="14" t="s">
        <v>17</v>
      </c>
      <c r="M252" s="47">
        <v>4.1861286000000001E-3</v>
      </c>
      <c r="N252" s="137" t="s">
        <v>299</v>
      </c>
      <c r="O252" s="206">
        <v>18.440000000000001</v>
      </c>
      <c r="P252" s="198">
        <v>19.22</v>
      </c>
      <c r="Q252" s="202">
        <v>20.59</v>
      </c>
      <c r="R252" s="208">
        <v>21.64</v>
      </c>
      <c r="S252" s="195">
        <v>22.15</v>
      </c>
      <c r="T252" s="179">
        <v>20.74</v>
      </c>
      <c r="U252" s="202">
        <v>20.149999999999999</v>
      </c>
      <c r="V252" s="202">
        <v>20.81</v>
      </c>
      <c r="W252" s="195">
        <v>22.07</v>
      </c>
      <c r="X252" s="185">
        <v>21.82</v>
      </c>
      <c r="Y252" s="137"/>
      <c r="Z252" s="193">
        <v>68.528732299804688</v>
      </c>
      <c r="AA252" s="193">
        <v>64.93280029296875</v>
      </c>
      <c r="AB252" s="188">
        <v>58.707138061523438</v>
      </c>
      <c r="AC252" s="192">
        <v>54.817378997802734</v>
      </c>
      <c r="AD252" s="192">
        <v>53.525367736816406</v>
      </c>
      <c r="AE252" s="84">
        <v>60.792991638183594</v>
      </c>
      <c r="AF252" s="193">
        <v>64.832290649414063</v>
      </c>
      <c r="AG252" s="188">
        <v>62.305633544921875</v>
      </c>
      <c r="AH252" s="188">
        <v>57.221595764160156</v>
      </c>
      <c r="AI252" s="84">
        <v>59.19854736328125</v>
      </c>
      <c r="AJ252" s="35">
        <v>110</v>
      </c>
    </row>
    <row r="253" spans="1:36" x14ac:dyDescent="0.3">
      <c r="A253" s="35">
        <v>111</v>
      </c>
      <c r="L253" s="14" t="s">
        <v>17</v>
      </c>
      <c r="M253" s="47">
        <v>5.2214489999999995E-3</v>
      </c>
      <c r="N253" s="137" t="s">
        <v>300</v>
      </c>
      <c r="O253" s="195">
        <v>22.06</v>
      </c>
      <c r="P253" s="195">
        <v>22.38</v>
      </c>
      <c r="Q253" s="185">
        <v>21.66</v>
      </c>
      <c r="R253" s="199">
        <v>24.26</v>
      </c>
      <c r="S253" s="174">
        <v>24.42</v>
      </c>
      <c r="T253" s="195">
        <v>23.26</v>
      </c>
      <c r="U253" s="174">
        <v>25.61</v>
      </c>
      <c r="V253" s="174">
        <v>24.36</v>
      </c>
      <c r="W253" s="199">
        <v>24.13</v>
      </c>
      <c r="X253" s="199">
        <v>25.8</v>
      </c>
      <c r="Y253" s="137"/>
      <c r="Z253" s="188">
        <v>58.949989318847656</v>
      </c>
      <c r="AA253" s="188">
        <v>58.346023559570313</v>
      </c>
      <c r="AB253" s="171">
        <v>62.550117492675781</v>
      </c>
      <c r="AC253" s="192">
        <v>52.302627563476563</v>
      </c>
      <c r="AD253" s="85">
        <v>52.429908752441406</v>
      </c>
      <c r="AE253" s="188">
        <v>57.721786499023438</v>
      </c>
      <c r="AF253" s="86">
        <v>49.662925720214844</v>
      </c>
      <c r="AG253" s="85">
        <v>54.784076690673828</v>
      </c>
      <c r="AH253" s="188">
        <v>56.397804260253906</v>
      </c>
      <c r="AI253" s="192">
        <v>50.978683471679688</v>
      </c>
      <c r="AJ253" s="35">
        <v>111</v>
      </c>
    </row>
    <row r="254" spans="1:36" x14ac:dyDescent="0.3">
      <c r="A254" s="35">
        <v>112</v>
      </c>
      <c r="L254" s="14" t="s">
        <v>17</v>
      </c>
      <c r="M254" s="47">
        <v>6.4788371999999995E-3</v>
      </c>
      <c r="N254" s="137" t="s">
        <v>301</v>
      </c>
      <c r="O254" s="195">
        <v>23.28</v>
      </c>
      <c r="P254" s="199">
        <v>25.61</v>
      </c>
      <c r="Q254" s="174">
        <v>25.92</v>
      </c>
      <c r="R254" s="174">
        <v>25.67</v>
      </c>
      <c r="S254" s="197">
        <v>26.96</v>
      </c>
      <c r="T254" s="197">
        <v>27.36</v>
      </c>
      <c r="U254" s="207">
        <v>28.62</v>
      </c>
      <c r="V254" s="187"/>
      <c r="W254" s="211">
        <v>26.13</v>
      </c>
      <c r="X254" s="45"/>
      <c r="Y254" s="137"/>
      <c r="Z254" s="188">
        <v>61.480010986328125</v>
      </c>
      <c r="AA254" s="192">
        <v>52.930225372314453</v>
      </c>
      <c r="AB254" s="85">
        <v>52.498798370361328</v>
      </c>
      <c r="AC254" s="85">
        <v>54.021808624267578</v>
      </c>
      <c r="AD254" s="192">
        <v>50.30029296875</v>
      </c>
      <c r="AE254" s="200">
        <v>49.640548706054688</v>
      </c>
      <c r="AF254" s="200">
        <v>46.523788452148438</v>
      </c>
      <c r="AG254" s="200"/>
      <c r="AH254" s="85">
        <v>55.572601318359375</v>
      </c>
      <c r="AI254" s="2"/>
      <c r="AJ254" s="35">
        <v>112</v>
      </c>
    </row>
    <row r="255" spans="1:36" x14ac:dyDescent="0.3">
      <c r="A255" s="35">
        <v>113</v>
      </c>
      <c r="L255" s="14" t="s">
        <v>17</v>
      </c>
      <c r="M255" s="47">
        <v>8.0038656E-3</v>
      </c>
      <c r="N255" s="47" t="s">
        <v>302</v>
      </c>
      <c r="O255" s="45">
        <v>31.66</v>
      </c>
      <c r="P255" s="187">
        <v>30.3</v>
      </c>
      <c r="Q255" s="207">
        <v>28.26</v>
      </c>
      <c r="R255" s="197">
        <v>27.82</v>
      </c>
      <c r="S255" s="45">
        <v>30.44</v>
      </c>
      <c r="T255" s="45"/>
      <c r="U255" s="45"/>
      <c r="V255" s="45"/>
      <c r="W255" s="187">
        <v>33.1</v>
      </c>
      <c r="X255" s="196">
        <v>29.36</v>
      </c>
      <c r="Z255" s="86">
        <v>41.009925842285156</v>
      </c>
      <c r="AA255" s="200">
        <v>44.679054260253906</v>
      </c>
      <c r="AB255" s="192">
        <v>50.852249145507813</v>
      </c>
      <c r="AC255" s="192">
        <v>52.794765472412109</v>
      </c>
      <c r="AD255" s="86">
        <v>45.791721343994141</v>
      </c>
      <c r="AE255" s="2"/>
      <c r="AF255" s="2"/>
      <c r="AG255" s="2"/>
      <c r="AH255" s="200">
        <v>41.403163909912109</v>
      </c>
      <c r="AI255" s="85">
        <v>51.281993865966797</v>
      </c>
      <c r="AJ255" s="35">
        <v>113</v>
      </c>
    </row>
    <row r="256" spans="1:36" x14ac:dyDescent="0.3">
      <c r="A256" s="35">
        <v>114</v>
      </c>
      <c r="L256" s="14" t="s">
        <v>17</v>
      </c>
      <c r="M256" s="47">
        <v>9.8365906999999999E-3</v>
      </c>
      <c r="N256" s="47" t="s">
        <v>273</v>
      </c>
      <c r="O256" s="197">
        <v>27.72</v>
      </c>
      <c r="P256" s="45">
        <v>32.409999999999997</v>
      </c>
      <c r="Q256" s="45">
        <v>44.05</v>
      </c>
      <c r="R256" s="45"/>
      <c r="S256" s="45"/>
      <c r="T256" s="45"/>
      <c r="U256" s="45"/>
      <c r="V256" s="45"/>
      <c r="W256" s="45"/>
      <c r="X256" s="45"/>
      <c r="Z256" s="188">
        <v>57.117153167724609</v>
      </c>
      <c r="AA256" s="86">
        <v>44.226444244384766</v>
      </c>
      <c r="AB256" s="87">
        <v>26.509841918945313</v>
      </c>
      <c r="AC256" s="2"/>
      <c r="AD256" s="2"/>
      <c r="AE256" s="2"/>
      <c r="AF256" s="2"/>
      <c r="AG256" s="2"/>
      <c r="AH256" s="2"/>
      <c r="AI256" s="2"/>
      <c r="AJ256" s="35">
        <v>114</v>
      </c>
    </row>
    <row r="257" spans="1:38" x14ac:dyDescent="0.3">
      <c r="A257" s="35">
        <v>115</v>
      </c>
      <c r="L257" s="15" t="s">
        <v>18</v>
      </c>
      <c r="M257" s="47">
        <v>1.20335279E-2</v>
      </c>
      <c r="N257" s="47" t="s">
        <v>303</v>
      </c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35">
        <v>115</v>
      </c>
    </row>
    <row r="258" spans="1:38" x14ac:dyDescent="0.3">
      <c r="A258" s="35">
        <v>116</v>
      </c>
      <c r="L258" s="15" t="s">
        <v>18</v>
      </c>
      <c r="M258" s="47">
        <v>1.4650118100000002E-2</v>
      </c>
      <c r="N258" s="47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35">
        <v>116</v>
      </c>
    </row>
    <row r="259" spans="1:38" x14ac:dyDescent="0.3">
      <c r="A259" s="35">
        <v>117</v>
      </c>
      <c r="L259" s="15" t="s">
        <v>18</v>
      </c>
      <c r="M259" s="47">
        <v>1.7754582099999999E-2</v>
      </c>
      <c r="N259" s="47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35">
        <v>117</v>
      </c>
    </row>
    <row r="260" spans="1:38" x14ac:dyDescent="0.3">
      <c r="A260" s="35">
        <v>118</v>
      </c>
      <c r="L260" s="15" t="s">
        <v>18</v>
      </c>
      <c r="M260" s="47">
        <v>2.1417423200000001E-2</v>
      </c>
      <c r="N260" s="47" t="s">
        <v>273</v>
      </c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35">
        <v>118</v>
      </c>
    </row>
    <row r="261" spans="1:38" x14ac:dyDescent="0.3">
      <c r="A261" s="35">
        <v>119</v>
      </c>
      <c r="B261" s="240">
        <v>1.973138689994812</v>
      </c>
      <c r="L261" s="15" t="s">
        <v>18</v>
      </c>
      <c r="M261" s="47">
        <v>2.57182288E-2</v>
      </c>
      <c r="N261" s="47" t="s">
        <v>303</v>
      </c>
      <c r="O261" s="45"/>
      <c r="P261" s="45"/>
      <c r="Q261" s="45"/>
      <c r="R261" s="45"/>
      <c r="S261" s="45"/>
      <c r="T261" s="45"/>
      <c r="U261" s="45"/>
      <c r="V261" s="45"/>
      <c r="W261" s="45"/>
      <c r="X261" s="176">
        <v>60.31</v>
      </c>
      <c r="Z261" s="2"/>
      <c r="AA261" s="2"/>
      <c r="AB261" s="2"/>
      <c r="AC261" s="2"/>
      <c r="AD261" s="2"/>
      <c r="AE261" s="2"/>
      <c r="AF261" s="2"/>
      <c r="AG261" s="2"/>
      <c r="AH261" s="2"/>
      <c r="AI261" s="86">
        <v>48.682662963867188</v>
      </c>
      <c r="AJ261" s="35">
        <v>119</v>
      </c>
      <c r="AK261" s="82">
        <v>60.31</v>
      </c>
    </row>
    <row r="262" spans="1:38" x14ac:dyDescent="0.3">
      <c r="A262" s="35">
        <v>120</v>
      </c>
      <c r="L262" s="15" t="s">
        <v>18</v>
      </c>
      <c r="M262" s="47">
        <v>3.0750857699999998E-2</v>
      </c>
      <c r="N262" s="47" t="s">
        <v>304</v>
      </c>
      <c r="O262" s="45"/>
      <c r="P262" s="45"/>
      <c r="Q262" s="177">
        <v>63.64</v>
      </c>
      <c r="R262" s="308">
        <v>58.97</v>
      </c>
      <c r="S262" s="45"/>
      <c r="T262" s="45"/>
      <c r="U262" s="211"/>
      <c r="V262" s="179">
        <v>65.77</v>
      </c>
      <c r="W262" s="308">
        <v>59.12</v>
      </c>
      <c r="X262" s="45"/>
      <c r="Z262" s="2"/>
      <c r="AA262" s="2"/>
      <c r="AB262" s="86">
        <v>45.552040100097656</v>
      </c>
      <c r="AC262" s="85">
        <v>52.278297424316406</v>
      </c>
      <c r="AD262" s="2"/>
      <c r="AE262" s="88"/>
      <c r="AF262" s="87"/>
      <c r="AG262" s="86">
        <v>44.837944030761719</v>
      </c>
      <c r="AH262" s="85">
        <v>54.168987274169922</v>
      </c>
      <c r="AI262" s="2"/>
      <c r="AJ262" s="35">
        <v>120</v>
      </c>
    </row>
    <row r="263" spans="1:38" x14ac:dyDescent="0.3">
      <c r="A263" s="35">
        <v>121</v>
      </c>
      <c r="L263" s="15" t="s">
        <v>18</v>
      </c>
      <c r="M263" s="47">
        <v>3.6596697800000001E-2</v>
      </c>
      <c r="N263" s="47" t="s">
        <v>305</v>
      </c>
      <c r="O263" s="45"/>
      <c r="P263" s="177">
        <v>63.46</v>
      </c>
      <c r="Q263" s="175">
        <v>70.13</v>
      </c>
      <c r="R263" s="45"/>
      <c r="S263" s="177">
        <v>64.790000000000006</v>
      </c>
      <c r="T263" s="179">
        <v>65.959999999999994</v>
      </c>
      <c r="U263" s="202">
        <v>65.73</v>
      </c>
      <c r="V263" s="176">
        <v>60.09</v>
      </c>
      <c r="W263" s="177">
        <v>62.79</v>
      </c>
      <c r="X263" s="176">
        <v>62.07</v>
      </c>
      <c r="Z263" s="2"/>
      <c r="AA263" s="86">
        <v>49.148521423339844</v>
      </c>
      <c r="AB263" s="86">
        <v>41.785602569580078</v>
      </c>
      <c r="AC263" s="2"/>
      <c r="AD263" s="86">
        <v>48.532257080078125</v>
      </c>
      <c r="AE263" s="86">
        <v>47.429214477539063</v>
      </c>
      <c r="AF263" s="200">
        <v>48.065113067626953</v>
      </c>
      <c r="AG263" s="84">
        <v>56.395709991455078</v>
      </c>
      <c r="AH263" s="85">
        <v>52.717460632324219</v>
      </c>
      <c r="AI263" s="85">
        <v>54.150829315185547</v>
      </c>
      <c r="AJ263" s="35">
        <v>121</v>
      </c>
    </row>
    <row r="264" spans="1:38" x14ac:dyDescent="0.3">
      <c r="A264" s="35">
        <v>122</v>
      </c>
      <c r="B264" s="240">
        <v>1.917033314704895</v>
      </c>
      <c r="L264" s="15" t="s">
        <v>18</v>
      </c>
      <c r="M264" s="47">
        <v>4.3372149400000004E-2</v>
      </c>
      <c r="N264" s="47" t="s">
        <v>306</v>
      </c>
      <c r="O264" s="308">
        <v>59.44</v>
      </c>
      <c r="P264" s="185">
        <v>68.13</v>
      </c>
      <c r="Q264" s="175">
        <v>70.27</v>
      </c>
      <c r="R264" s="308">
        <v>57.69</v>
      </c>
      <c r="S264" s="177">
        <v>62.78</v>
      </c>
      <c r="T264" s="176">
        <v>62.35</v>
      </c>
      <c r="U264" s="206">
        <v>61.59</v>
      </c>
      <c r="V264" s="308">
        <v>58.92</v>
      </c>
      <c r="W264" s="213">
        <v>54.74</v>
      </c>
      <c r="X264" s="176">
        <v>61.12</v>
      </c>
      <c r="Z264" s="84">
        <v>58.70611572265625</v>
      </c>
      <c r="AA264" s="86">
        <v>46.884918212890625</v>
      </c>
      <c r="AB264" s="86">
        <v>44.799037933349609</v>
      </c>
      <c r="AC264" s="171">
        <v>63.089107513427734</v>
      </c>
      <c r="AD264" s="85">
        <v>55.024429321289063</v>
      </c>
      <c r="AE264" s="85">
        <v>56.057701110839844</v>
      </c>
      <c r="AF264" s="188">
        <v>57.633468627929688</v>
      </c>
      <c r="AG264" s="171">
        <v>62.569110870361328</v>
      </c>
      <c r="AH264" s="194">
        <v>71.389244079589844</v>
      </c>
      <c r="AI264" s="84">
        <v>59.588691711425781</v>
      </c>
      <c r="AJ264" s="35">
        <v>122</v>
      </c>
      <c r="AK264" s="171">
        <v>63.64</v>
      </c>
    </row>
    <row r="265" spans="1:38" x14ac:dyDescent="0.3">
      <c r="A265" s="35">
        <v>123</v>
      </c>
      <c r="B265" s="234">
        <v>2.0858063697814941</v>
      </c>
      <c r="L265" s="15" t="s">
        <v>18</v>
      </c>
      <c r="M265" s="47">
        <v>5.1173598600000002E-2</v>
      </c>
      <c r="N265" s="137" t="s">
        <v>270</v>
      </c>
      <c r="O265" s="198">
        <v>64.05</v>
      </c>
      <c r="P265" s="179">
        <v>65.33</v>
      </c>
      <c r="Q265" s="308">
        <v>58.2</v>
      </c>
      <c r="R265" s="176">
        <v>62.22</v>
      </c>
      <c r="S265" s="179">
        <v>65.64</v>
      </c>
      <c r="T265" s="177">
        <v>63.79</v>
      </c>
      <c r="U265" s="179">
        <v>65.14</v>
      </c>
      <c r="V265" s="177">
        <v>62.73</v>
      </c>
      <c r="W265" s="201">
        <v>59.51</v>
      </c>
      <c r="X265" s="206">
        <v>61.91</v>
      </c>
      <c r="Y265" s="137"/>
      <c r="Z265" s="192">
        <v>55.398494720458984</v>
      </c>
      <c r="AA265" s="85">
        <v>53.923076629638672</v>
      </c>
      <c r="AB265" s="171">
        <v>66.063835144042969</v>
      </c>
      <c r="AC265" s="84">
        <v>59.360790252685547</v>
      </c>
      <c r="AD265" s="85">
        <v>54.553600311279297</v>
      </c>
      <c r="AE265" s="84">
        <v>57.642330169677734</v>
      </c>
      <c r="AF265" s="85">
        <v>55.985130310058594</v>
      </c>
      <c r="AG265" s="84">
        <v>60.073219299316406</v>
      </c>
      <c r="AH265" s="193">
        <v>66.121612548828125</v>
      </c>
      <c r="AI265" s="188">
        <v>62.214698791503906</v>
      </c>
      <c r="AJ265" s="35">
        <v>123</v>
      </c>
      <c r="AK265" s="16">
        <v>58.97</v>
      </c>
    </row>
    <row r="266" spans="1:38" x14ac:dyDescent="0.3">
      <c r="A266" s="35">
        <v>124</v>
      </c>
      <c r="L266" s="15" t="s">
        <v>18</v>
      </c>
      <c r="M266" s="47">
        <v>6.0124358299999993E-2</v>
      </c>
      <c r="N266" s="137" t="s">
        <v>271</v>
      </c>
      <c r="O266" s="176">
        <v>60.12</v>
      </c>
      <c r="P266" s="176">
        <v>62.35</v>
      </c>
      <c r="Q266" s="198">
        <v>63.28</v>
      </c>
      <c r="R266" s="198">
        <v>63.29</v>
      </c>
      <c r="S266" s="179">
        <v>66.489999999999995</v>
      </c>
      <c r="T266" s="206">
        <v>62.36</v>
      </c>
      <c r="U266" s="206">
        <v>61.71</v>
      </c>
      <c r="V266" s="179">
        <v>65</v>
      </c>
      <c r="W266" s="177">
        <v>63.59</v>
      </c>
      <c r="X266" s="202">
        <v>66.040000000000006</v>
      </c>
      <c r="Y266" s="137"/>
      <c r="Z266" s="171">
        <v>65.807746887207031</v>
      </c>
      <c r="AA266" s="84">
        <v>62.243377685546875</v>
      </c>
      <c r="AB266" s="188">
        <v>61.073284149169922</v>
      </c>
      <c r="AC266" s="188">
        <v>61.433773040771484</v>
      </c>
      <c r="AD266" s="84">
        <v>56.839122772216797</v>
      </c>
      <c r="AE266" s="193">
        <v>63.772407531738281</v>
      </c>
      <c r="AF266" s="193">
        <v>65.311988830566406</v>
      </c>
      <c r="AG266" s="84">
        <v>60.152408599853516</v>
      </c>
      <c r="AH266" s="171">
        <v>62.811264038085938</v>
      </c>
      <c r="AI266" s="188">
        <v>59.252124786376953</v>
      </c>
      <c r="AJ266" s="35">
        <v>124</v>
      </c>
    </row>
    <row r="267" spans="1:38" x14ac:dyDescent="0.3">
      <c r="A267" s="35">
        <v>125</v>
      </c>
      <c r="B267" s="233"/>
      <c r="L267" s="15" t="s">
        <v>18</v>
      </c>
      <c r="M267" s="47">
        <v>7.03468919E-2</v>
      </c>
      <c r="N267" s="137" t="s">
        <v>253</v>
      </c>
      <c r="O267" s="198">
        <v>63.4</v>
      </c>
      <c r="P267" s="201">
        <v>59.24</v>
      </c>
      <c r="Q267" s="206">
        <v>61.62</v>
      </c>
      <c r="R267" s="202">
        <v>66.680000000000007</v>
      </c>
      <c r="S267" s="198">
        <v>64.89</v>
      </c>
      <c r="T267" s="202">
        <v>65.34</v>
      </c>
      <c r="U267" s="208">
        <v>67.52</v>
      </c>
      <c r="V267" s="198">
        <v>64.41</v>
      </c>
      <c r="W267" s="176">
        <v>62.07</v>
      </c>
      <c r="X267" s="208">
        <v>68.61</v>
      </c>
      <c r="Y267" s="137"/>
      <c r="Z267" s="193">
        <v>63.883167266845703</v>
      </c>
      <c r="AA267" s="194">
        <v>72.117347717285156</v>
      </c>
      <c r="AB267" s="193">
        <v>67.840782165527344</v>
      </c>
      <c r="AC267" s="188">
        <v>59.668186187744141</v>
      </c>
      <c r="AD267" s="193">
        <v>62.854488372802734</v>
      </c>
      <c r="AE267" s="188">
        <v>62.477382659912109</v>
      </c>
      <c r="AF267" s="188">
        <v>59.424674987792969</v>
      </c>
      <c r="AG267" s="193">
        <v>64.750312805175781</v>
      </c>
      <c r="AH267" s="82">
        <v>69.344223022460938</v>
      </c>
      <c r="AI267" s="188">
        <v>58.814399719238281</v>
      </c>
      <c r="AJ267" s="35">
        <v>125</v>
      </c>
    </row>
    <row r="268" spans="1:38" x14ac:dyDescent="0.3">
      <c r="A268" s="35">
        <v>126</v>
      </c>
      <c r="B268" s="240"/>
      <c r="L268" s="15" t="s">
        <v>18</v>
      </c>
      <c r="M268" s="47">
        <v>8.1968798900000001E-2</v>
      </c>
      <c r="N268" s="137" t="s">
        <v>254</v>
      </c>
      <c r="O268" s="175">
        <v>70.599999999999994</v>
      </c>
      <c r="P268" s="202">
        <v>65.5</v>
      </c>
      <c r="Q268" s="208">
        <v>68.650000000000006</v>
      </c>
      <c r="R268" s="202">
        <v>65.73</v>
      </c>
      <c r="S268" s="185">
        <v>68.42</v>
      </c>
      <c r="T268" s="185">
        <v>69.900000000000006</v>
      </c>
      <c r="U268" s="175">
        <v>71.260000000000005</v>
      </c>
      <c r="V268" s="195">
        <v>70.88</v>
      </c>
      <c r="W268" s="208">
        <v>67.63</v>
      </c>
      <c r="X268" s="175">
        <v>71.459999999999994</v>
      </c>
      <c r="Y268" s="137"/>
      <c r="Z268" s="84">
        <v>56.337009429931641</v>
      </c>
      <c r="AA268" s="193">
        <v>64.351341247558594</v>
      </c>
      <c r="AB268" s="188">
        <v>59.740894317626953</v>
      </c>
      <c r="AC268" s="193">
        <v>64.675849914550781</v>
      </c>
      <c r="AD268" s="84">
        <v>60.742950439453125</v>
      </c>
      <c r="AE268" s="84">
        <v>58.89111328125</v>
      </c>
      <c r="AF268" s="84">
        <v>57.301277160644531</v>
      </c>
      <c r="AG268" s="188">
        <v>58.135391235351563</v>
      </c>
      <c r="AH268" s="193">
        <v>63.300945281982422</v>
      </c>
      <c r="AI268" s="84">
        <v>57.948734283447266</v>
      </c>
      <c r="AJ268" s="35">
        <v>126</v>
      </c>
      <c r="AK268" s="88"/>
    </row>
    <row r="269" spans="1:38" x14ac:dyDescent="0.3">
      <c r="A269" s="35">
        <v>127</v>
      </c>
      <c r="B269" s="240">
        <v>1.930971622467041</v>
      </c>
      <c r="L269" s="15" t="s">
        <v>18</v>
      </c>
      <c r="M269" s="47">
        <v>9.5111070899999997E-2</v>
      </c>
      <c r="N269" s="137" t="s">
        <v>255</v>
      </c>
      <c r="O269" s="175">
        <v>72.459999999999994</v>
      </c>
      <c r="P269" s="175">
        <v>71.78</v>
      </c>
      <c r="Q269" s="208">
        <v>69.11</v>
      </c>
      <c r="R269" s="195">
        <v>71.28</v>
      </c>
      <c r="S269" s="208">
        <v>69.680000000000007</v>
      </c>
      <c r="T269" s="195">
        <v>74.05</v>
      </c>
      <c r="U269" s="202">
        <v>67</v>
      </c>
      <c r="V269" s="175">
        <v>72.5</v>
      </c>
      <c r="W269" s="195">
        <v>73.47</v>
      </c>
      <c r="X269" s="179">
        <v>66.760000000000005</v>
      </c>
      <c r="Y269" s="137"/>
      <c r="Z269" s="84">
        <v>56.895210266113281</v>
      </c>
      <c r="AA269" s="84">
        <v>58.118816375732422</v>
      </c>
      <c r="AB269" s="188">
        <v>62.311897277832031</v>
      </c>
      <c r="AC269" s="188">
        <v>59.429420471191406</v>
      </c>
      <c r="AD269" s="188">
        <v>62.087924957275391</v>
      </c>
      <c r="AE269" s="188">
        <v>56.27703857421875</v>
      </c>
      <c r="AF269" s="193">
        <v>67.052993774414063</v>
      </c>
      <c r="AG269" s="84">
        <v>58.936027526855469</v>
      </c>
      <c r="AH269" s="188">
        <v>57.911838531494141</v>
      </c>
      <c r="AI269" s="171">
        <v>68.495895385742188</v>
      </c>
      <c r="AJ269" s="35">
        <v>127</v>
      </c>
      <c r="AK269" s="84">
        <v>65.77</v>
      </c>
    </row>
    <row r="270" spans="1:38" x14ac:dyDescent="0.3">
      <c r="A270" s="35">
        <v>128</v>
      </c>
      <c r="B270" s="234">
        <v>2.1650879383087158</v>
      </c>
      <c r="C270" s="234">
        <v>2.0233955383300781</v>
      </c>
      <c r="L270" s="16" t="s">
        <v>15</v>
      </c>
      <c r="M270" s="47">
        <v>0.10991268420000001</v>
      </c>
      <c r="N270" s="47" t="s">
        <v>256</v>
      </c>
      <c r="O270" s="175">
        <v>74.2</v>
      </c>
      <c r="P270" s="174">
        <v>76.33</v>
      </c>
      <c r="Q270" s="174">
        <v>75.180000000000007</v>
      </c>
      <c r="R270" s="211">
        <v>84.86</v>
      </c>
      <c r="S270" s="195">
        <v>74.099999999999994</v>
      </c>
      <c r="T270" s="174">
        <v>75.17</v>
      </c>
      <c r="U270" s="174">
        <v>75.819999999999993</v>
      </c>
      <c r="V270" s="175">
        <v>73.41</v>
      </c>
      <c r="W270" s="174">
        <v>76.849999999999994</v>
      </c>
      <c r="X270" s="211">
        <v>80.02</v>
      </c>
      <c r="Z270" s="84">
        <v>57.521820068359375</v>
      </c>
      <c r="AA270" s="85">
        <v>55.093875885009766</v>
      </c>
      <c r="AB270" s="84">
        <v>56.815479278564453</v>
      </c>
      <c r="AC270" s="86">
        <v>46.471870422363281</v>
      </c>
      <c r="AD270" s="188">
        <v>58.806926727294922</v>
      </c>
      <c r="AE270" s="84">
        <v>57.672317504882813</v>
      </c>
      <c r="AF270" s="84">
        <v>57.111564636230469</v>
      </c>
      <c r="AG270" s="84">
        <v>60.628341674804688</v>
      </c>
      <c r="AH270" s="84">
        <v>56.358318328857422</v>
      </c>
      <c r="AI270" s="85">
        <v>52.868629455566406</v>
      </c>
      <c r="AJ270" s="35">
        <v>128</v>
      </c>
      <c r="AK270" s="16">
        <v>59.12</v>
      </c>
      <c r="AL270" s="171">
        <v>63.26</v>
      </c>
    </row>
    <row r="271" spans="1:38" x14ac:dyDescent="0.3">
      <c r="A271" s="35">
        <v>129</v>
      </c>
      <c r="L271" s="16" t="s">
        <v>15</v>
      </c>
      <c r="M271" s="47">
        <v>0.1265110139</v>
      </c>
      <c r="N271" s="47" t="s">
        <v>257</v>
      </c>
      <c r="O271" s="174">
        <v>78.44</v>
      </c>
      <c r="P271" s="174">
        <v>79.63</v>
      </c>
      <c r="Q271" s="45"/>
      <c r="R271" s="45"/>
      <c r="S271" s="45">
        <v>92.06</v>
      </c>
      <c r="T271" s="45"/>
      <c r="U271" s="45"/>
      <c r="V271" s="199">
        <v>79.02</v>
      </c>
      <c r="W271" s="45"/>
      <c r="X271" s="45"/>
      <c r="Z271" s="85">
        <v>54.953407287597656</v>
      </c>
      <c r="AA271" s="85">
        <v>53.819705963134766</v>
      </c>
      <c r="AB271" s="2"/>
      <c r="AC271" s="2"/>
      <c r="AD271" s="86">
        <v>42.656223297119141</v>
      </c>
      <c r="AE271" s="2"/>
      <c r="AF271" s="2"/>
      <c r="AG271" s="192">
        <v>56.078460693359375</v>
      </c>
      <c r="AH271" s="2"/>
      <c r="AI271" s="87"/>
      <c r="AJ271" s="35">
        <v>129</v>
      </c>
    </row>
    <row r="272" spans="1:38" x14ac:dyDescent="0.3">
      <c r="A272" s="35">
        <v>130</v>
      </c>
      <c r="L272" s="16" t="s">
        <v>15</v>
      </c>
      <c r="M272" s="47">
        <v>0.14504337479999999</v>
      </c>
      <c r="N272" s="47" t="s">
        <v>258</v>
      </c>
      <c r="O272" s="199">
        <v>78.48</v>
      </c>
      <c r="P272" s="174">
        <v>77.930000000000007</v>
      </c>
      <c r="Q272" s="45"/>
      <c r="R272" s="196">
        <v>85.34</v>
      </c>
      <c r="S272" s="199">
        <v>78.69</v>
      </c>
      <c r="T272" s="45"/>
      <c r="U272" s="45"/>
      <c r="V272" s="45"/>
      <c r="W272" s="45"/>
      <c r="X272" s="45"/>
      <c r="Z272" s="188">
        <v>57.520362854003906</v>
      </c>
      <c r="AA272" s="84">
        <v>58.476795196533203</v>
      </c>
      <c r="AB272" s="2"/>
      <c r="AC272" s="85">
        <v>50.563213348388672</v>
      </c>
      <c r="AD272" s="188">
        <v>58.300735473632813</v>
      </c>
      <c r="AE272" s="87"/>
      <c r="AF272" s="2"/>
      <c r="AG272" s="2"/>
      <c r="AH272" s="2"/>
      <c r="AI272" s="2"/>
      <c r="AJ272" s="35">
        <v>130</v>
      </c>
    </row>
    <row r="273" spans="1:41" x14ac:dyDescent="0.3">
      <c r="A273" s="35">
        <v>131</v>
      </c>
      <c r="B273" s="234">
        <v>2.0642924308776855</v>
      </c>
      <c r="C273" s="249">
        <v>2.0039772987365723</v>
      </c>
      <c r="L273" s="16" t="s">
        <v>15</v>
      </c>
      <c r="M273" s="47">
        <v>0.16563648540000001</v>
      </c>
      <c r="N273" s="47" t="s">
        <v>307</v>
      </c>
      <c r="O273" s="196">
        <v>88.29</v>
      </c>
      <c r="P273" s="45"/>
      <c r="Q273" s="45"/>
      <c r="R273" s="174">
        <v>79.45</v>
      </c>
      <c r="S273" s="45"/>
      <c r="T273" s="45"/>
      <c r="U273" s="45"/>
      <c r="V273" s="45"/>
      <c r="W273" s="45"/>
      <c r="X273" s="45"/>
      <c r="Z273" s="86">
        <v>49.222934722900391</v>
      </c>
      <c r="AA273" s="2"/>
      <c r="AB273" s="2"/>
      <c r="AC273" s="84">
        <v>59.660320281982422</v>
      </c>
      <c r="AD273" s="2"/>
      <c r="AE273" s="2"/>
      <c r="AF273" s="2"/>
      <c r="AG273" s="2"/>
      <c r="AH273" s="2"/>
      <c r="AI273" s="2"/>
      <c r="AJ273" s="35">
        <v>131</v>
      </c>
      <c r="AK273" s="171">
        <v>63.46</v>
      </c>
      <c r="AL273" s="188">
        <v>65.37</v>
      </c>
    </row>
    <row r="274" spans="1:41" x14ac:dyDescent="0.3">
      <c r="A274" s="35">
        <v>132</v>
      </c>
      <c r="B274" s="240">
        <v>1.8822188377380371</v>
      </c>
      <c r="C274" s="240"/>
      <c r="L274" s="16" t="s">
        <v>15</v>
      </c>
      <c r="M274" s="47">
        <v>0.18841901580000001</v>
      </c>
      <c r="N274" s="47" t="s">
        <v>308</v>
      </c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35">
        <v>132</v>
      </c>
      <c r="AK274" s="86">
        <v>70.13</v>
      </c>
      <c r="AL274" s="168"/>
    </row>
    <row r="275" spans="1:41" x14ac:dyDescent="0.3">
      <c r="A275" s="35">
        <v>133</v>
      </c>
      <c r="L275" s="16" t="s">
        <v>15</v>
      </c>
      <c r="M275" s="47">
        <v>0.21351280800000003</v>
      </c>
      <c r="N275" s="47" t="s">
        <v>309</v>
      </c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35">
        <v>133</v>
      </c>
    </row>
    <row r="276" spans="1:41" x14ac:dyDescent="0.3">
      <c r="A276" s="35">
        <v>134</v>
      </c>
      <c r="B276" s="234">
        <v>2.0682203769683838</v>
      </c>
      <c r="L276" s="16" t="s">
        <v>15</v>
      </c>
      <c r="M276" s="47">
        <v>0.24104484030000001</v>
      </c>
      <c r="N276" s="47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35">
        <v>134</v>
      </c>
      <c r="AK276" s="171">
        <v>64.790000000000006</v>
      </c>
    </row>
    <row r="277" spans="1:41" x14ac:dyDescent="0.3">
      <c r="A277" s="35">
        <v>135</v>
      </c>
      <c r="B277" s="234">
        <v>2.0466949939727783</v>
      </c>
      <c r="C277" s="233"/>
      <c r="L277" s="16" t="s">
        <v>15</v>
      </c>
      <c r="M277" s="47">
        <v>0.27109427860000002</v>
      </c>
      <c r="N277" s="47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35">
        <v>135</v>
      </c>
      <c r="AK277" s="84">
        <v>65.959999999999994</v>
      </c>
    </row>
    <row r="278" spans="1:41" x14ac:dyDescent="0.3">
      <c r="A278" s="35">
        <v>136</v>
      </c>
      <c r="B278" s="249">
        <v>2.0690703392028809</v>
      </c>
      <c r="C278" s="234">
        <v>2.0109419822692871</v>
      </c>
      <c r="L278" s="16" t="s">
        <v>15</v>
      </c>
      <c r="M278" s="47">
        <v>0.30376807440000003</v>
      </c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v>136</v>
      </c>
      <c r="AK278" s="188">
        <v>65.73</v>
      </c>
      <c r="AL278" s="85">
        <v>67.63</v>
      </c>
    </row>
    <row r="279" spans="1:41" x14ac:dyDescent="0.3">
      <c r="A279" s="35">
        <v>137</v>
      </c>
      <c r="B279" s="235">
        <v>2.2799134254455566</v>
      </c>
      <c r="C279" s="249">
        <v>2.2207813262939453</v>
      </c>
      <c r="L279" s="16" t="s">
        <v>15</v>
      </c>
      <c r="M279" s="47">
        <v>0.33912384020000003</v>
      </c>
      <c r="N279" s="47"/>
      <c r="O279" s="111"/>
      <c r="P279" s="111"/>
      <c r="Q279" s="111"/>
      <c r="R279" s="111">
        <v>45717</v>
      </c>
      <c r="S279" s="111">
        <v>45722</v>
      </c>
      <c r="T279" s="111">
        <v>45762</v>
      </c>
      <c r="U279" s="111">
        <v>45761</v>
      </c>
      <c r="V279" s="111">
        <v>45766</v>
      </c>
      <c r="W279" s="111">
        <v>45712</v>
      </c>
      <c r="X279" s="111">
        <v>45765</v>
      </c>
      <c r="Z279" s="2"/>
      <c r="AA279" s="2"/>
      <c r="AB279" s="2"/>
      <c r="AC279" s="87">
        <v>1.1278195381164551</v>
      </c>
      <c r="AD279" s="87">
        <v>1.4134275913238525</v>
      </c>
      <c r="AE279" s="171">
        <v>2.7173912525177002</v>
      </c>
      <c r="AF279" s="86">
        <v>1.954397439956665</v>
      </c>
      <c r="AG279" s="81">
        <v>3.4313726425170898</v>
      </c>
      <c r="AH279" s="171">
        <v>2.7397260665893555</v>
      </c>
      <c r="AI279" s="16">
        <v>3.1249997615814209</v>
      </c>
      <c r="AJ279" s="35">
        <v>137</v>
      </c>
      <c r="AK279" s="82">
        <v>60.09</v>
      </c>
      <c r="AL279" s="194">
        <v>61.69</v>
      </c>
    </row>
    <row r="280" spans="1:41" x14ac:dyDescent="0.3">
      <c r="A280" s="35">
        <v>138</v>
      </c>
      <c r="B280" s="234">
        <v>2.1978020668029785</v>
      </c>
      <c r="C280" s="234">
        <v>2.0279204845428467</v>
      </c>
      <c r="L280" s="16" t="s">
        <v>15</v>
      </c>
      <c r="M280" s="47">
        <v>0.37721446389999996</v>
      </c>
      <c r="N280" s="137" t="s">
        <v>265</v>
      </c>
      <c r="O280" s="111">
        <v>45762</v>
      </c>
      <c r="P280" s="111">
        <v>45810</v>
      </c>
      <c r="Q280" s="111">
        <v>45810</v>
      </c>
      <c r="R280" s="111">
        <v>45807</v>
      </c>
      <c r="S280" s="111">
        <v>45717</v>
      </c>
      <c r="T280" s="111">
        <v>45762</v>
      </c>
      <c r="U280" s="111">
        <v>45762</v>
      </c>
      <c r="V280" s="111">
        <v>45810</v>
      </c>
      <c r="W280" s="111">
        <v>45810</v>
      </c>
      <c r="X280" s="111">
        <v>45765</v>
      </c>
      <c r="Y280" s="137"/>
      <c r="Z280" s="16">
        <v>3.0395138263702393</v>
      </c>
      <c r="AA280" s="204">
        <v>3.4700314998626709</v>
      </c>
      <c r="AB280" s="204">
        <v>3.3898305892944336</v>
      </c>
      <c r="AC280" s="203">
        <v>3.9039039611816406</v>
      </c>
      <c r="AD280" s="203">
        <v>3.7533512115478516</v>
      </c>
      <c r="AE280" s="80">
        <v>3.7688441276550293</v>
      </c>
      <c r="AF280" s="15">
        <v>3.6866357326507568</v>
      </c>
      <c r="AG280" s="191">
        <v>3.7117905616760254</v>
      </c>
      <c r="AH280" s="203">
        <v>3.9301309585571289</v>
      </c>
      <c r="AI280" s="14">
        <v>4.0598292350769043</v>
      </c>
      <c r="AJ280" s="35">
        <v>138</v>
      </c>
      <c r="AK280" s="171">
        <v>62.79</v>
      </c>
      <c r="AL280" s="85">
        <v>68.05</v>
      </c>
    </row>
    <row r="281" spans="1:41" x14ac:dyDescent="0.3">
      <c r="A281" s="35">
        <v>139</v>
      </c>
      <c r="B281" s="234">
        <v>2.2394070625305176</v>
      </c>
      <c r="C281" s="234">
        <v>2.1557071208953857</v>
      </c>
      <c r="D281" s="234">
        <v>2.0792820453643799</v>
      </c>
      <c r="E281" s="237">
        <v>2.0706093311309814</v>
      </c>
      <c r="F281" s="237">
        <v>2.0620083808898926</v>
      </c>
      <c r="L281" s="16" t="s">
        <v>15</v>
      </c>
      <c r="M281" s="47">
        <v>0.41808665920000004</v>
      </c>
      <c r="N281" s="137" t="s">
        <v>266</v>
      </c>
      <c r="O281" s="111">
        <v>45762</v>
      </c>
      <c r="P281" s="111">
        <v>45810</v>
      </c>
      <c r="Q281" s="111">
        <v>45804</v>
      </c>
      <c r="R281" s="111">
        <v>45808</v>
      </c>
      <c r="S281" s="111">
        <v>45793</v>
      </c>
      <c r="T281" s="111">
        <v>45763</v>
      </c>
      <c r="U281" s="111">
        <v>45716</v>
      </c>
      <c r="V281" s="111">
        <v>45763</v>
      </c>
      <c r="W281" s="111">
        <v>45763</v>
      </c>
      <c r="X281" s="111">
        <v>45706</v>
      </c>
      <c r="Y281" s="137"/>
      <c r="Z281" s="14">
        <v>4.1580042839050293</v>
      </c>
      <c r="AA281" s="203">
        <v>3.9252336025238037</v>
      </c>
      <c r="AB281" s="203">
        <v>3.9007093906402588</v>
      </c>
      <c r="AC281" s="191">
        <v>3.7037036418914795</v>
      </c>
      <c r="AD281" s="212">
        <v>4.0609140396118164</v>
      </c>
      <c r="AE281" s="14">
        <v>4.0453076362609863</v>
      </c>
      <c r="AF281" s="15">
        <v>3.7037036418914795</v>
      </c>
      <c r="AG281" s="78">
        <v>4.6712799072265625</v>
      </c>
      <c r="AH281" s="203">
        <v>3.8781163692474365</v>
      </c>
      <c r="AI281" s="80">
        <v>3.8821954727172852</v>
      </c>
      <c r="AJ281" s="35">
        <v>139</v>
      </c>
      <c r="AK281" s="82">
        <v>62.07</v>
      </c>
      <c r="AL281" s="171">
        <v>64.48</v>
      </c>
      <c r="AM281" s="84">
        <v>66.849999999999994</v>
      </c>
      <c r="AN281" s="84">
        <v>67.13</v>
      </c>
      <c r="AO281" s="84">
        <v>67.41</v>
      </c>
    </row>
    <row r="282" spans="1:41" x14ac:dyDescent="0.3">
      <c r="A282" s="35">
        <v>140</v>
      </c>
      <c r="B282" s="235">
        <v>2.3553164005279541</v>
      </c>
      <c r="C282" s="234">
        <v>2.1183235645294189</v>
      </c>
      <c r="D282" s="234">
        <v>2.0077440738677979</v>
      </c>
      <c r="E282" s="237">
        <v>2.0005714893341064</v>
      </c>
      <c r="L282" s="16" t="s">
        <v>15</v>
      </c>
      <c r="M282" s="47">
        <v>0.46173366579999997</v>
      </c>
      <c r="N282" s="47" t="s">
        <v>267</v>
      </c>
      <c r="O282" s="111">
        <v>45810</v>
      </c>
      <c r="P282" s="111">
        <v>45761</v>
      </c>
      <c r="Q282" s="111">
        <v>45762</v>
      </c>
      <c r="R282" s="111">
        <v>45763</v>
      </c>
      <c r="S282" s="111">
        <v>45793</v>
      </c>
      <c r="T282" s="111">
        <v>45721</v>
      </c>
      <c r="U282" s="111"/>
      <c r="V282" s="111">
        <v>45720</v>
      </c>
      <c r="W282" s="111"/>
      <c r="X282" s="111"/>
      <c r="Z282" s="191">
        <v>3.6014406681060791</v>
      </c>
      <c r="AA282" s="80">
        <v>3.8036811351776123</v>
      </c>
      <c r="AB282" s="81">
        <v>3.3684210777282715</v>
      </c>
      <c r="AC282" s="80">
        <v>3.7800688743591309</v>
      </c>
      <c r="AD282" s="191">
        <v>3.651986837387085</v>
      </c>
      <c r="AE282" s="81">
        <v>3.4653463363647461</v>
      </c>
      <c r="AF282" s="2"/>
      <c r="AG282" s="16">
        <v>3.0654516220092773</v>
      </c>
      <c r="AH282" s="2"/>
      <c r="AI282" s="2"/>
      <c r="AJ282" s="35">
        <v>140</v>
      </c>
      <c r="AK282" s="16">
        <v>59.44</v>
      </c>
      <c r="AL282" s="84">
        <v>66.09</v>
      </c>
      <c r="AM282" s="85">
        <v>69.73</v>
      </c>
      <c r="AN282" s="85">
        <v>69.98</v>
      </c>
    </row>
    <row r="283" spans="1:41" x14ac:dyDescent="0.3">
      <c r="A283" s="35">
        <v>141</v>
      </c>
      <c r="B283" s="234">
        <v>2.069572925567627</v>
      </c>
      <c r="L283" s="16" t="s">
        <v>15</v>
      </c>
      <c r="M283" s="47">
        <v>0.50816238469999997</v>
      </c>
      <c r="N283" s="47" t="s">
        <v>259</v>
      </c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35">
        <v>141</v>
      </c>
      <c r="AK283" s="85">
        <v>68.13</v>
      </c>
    </row>
    <row r="284" spans="1:41" x14ac:dyDescent="0.3">
      <c r="A284" s="35">
        <v>142</v>
      </c>
      <c r="B284" s="234">
        <v>2.0207769870758057</v>
      </c>
      <c r="C284" s="240">
        <v>1.7961043119430542</v>
      </c>
      <c r="L284" s="16" t="s">
        <v>15</v>
      </c>
      <c r="M284" s="47">
        <v>0.55729825889999995</v>
      </c>
      <c r="N284" s="47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35">
        <v>142</v>
      </c>
      <c r="AK284" s="86">
        <v>70.27</v>
      </c>
      <c r="AL284" s="87">
        <v>79.06</v>
      </c>
    </row>
    <row r="285" spans="1:41" x14ac:dyDescent="0.3">
      <c r="A285" s="35">
        <v>143</v>
      </c>
      <c r="B285" s="235">
        <v>2.4787659645080566</v>
      </c>
      <c r="C285" s="249">
        <v>2.184206485748291</v>
      </c>
      <c r="D285" s="234">
        <v>2.0303847789764404</v>
      </c>
      <c r="E285" s="238"/>
      <c r="F285" s="238"/>
      <c r="L285" s="16" t="s">
        <v>15</v>
      </c>
      <c r="M285" s="47">
        <v>0.60909099919999998</v>
      </c>
      <c r="N285" s="47" t="s">
        <v>267</v>
      </c>
      <c r="O285" s="111"/>
      <c r="P285" s="111">
        <v>45742</v>
      </c>
      <c r="Q285" s="111"/>
      <c r="R285" s="111"/>
      <c r="S285" s="111"/>
      <c r="T285" s="111">
        <v>45712</v>
      </c>
      <c r="U285" s="111"/>
      <c r="V285" s="111"/>
      <c r="W285" s="111">
        <v>45776</v>
      </c>
      <c r="X285" s="111"/>
      <c r="Z285" s="2"/>
      <c r="AA285" s="87">
        <v>1.486810564994812</v>
      </c>
      <c r="AB285" s="2"/>
      <c r="AC285" s="2"/>
      <c r="AD285" s="2"/>
      <c r="AE285" s="85">
        <v>2.1302495002746582</v>
      </c>
      <c r="AF285" s="2"/>
      <c r="AG285" s="2"/>
      <c r="AH285" s="84">
        <v>2.2646005153656006</v>
      </c>
      <c r="AI285" s="87"/>
      <c r="AJ285" s="35">
        <v>143</v>
      </c>
      <c r="AK285" s="16">
        <v>57.69</v>
      </c>
      <c r="AL285" s="188">
        <v>65.47</v>
      </c>
      <c r="AM285" s="86">
        <v>70.430000000000007</v>
      </c>
      <c r="AN285" s="88"/>
      <c r="AO285" s="168"/>
    </row>
    <row r="286" spans="1:41" x14ac:dyDescent="0.3">
      <c r="A286" s="35">
        <v>144</v>
      </c>
      <c r="B286" s="235">
        <v>2.2937240600585938</v>
      </c>
      <c r="C286" s="249">
        <v>2.2398507595062256</v>
      </c>
      <c r="D286" s="234">
        <v>2.2102839946746826</v>
      </c>
      <c r="E286" s="237">
        <v>2.1752266883850098</v>
      </c>
      <c r="F286" s="237">
        <v>2.1589205265045166</v>
      </c>
      <c r="G286" s="237">
        <v>2.1320698261260986</v>
      </c>
      <c r="H286" s="237">
        <v>2.0893790721893311</v>
      </c>
      <c r="I286" s="237">
        <v>2.0794224739074707</v>
      </c>
      <c r="L286" s="16" t="s">
        <v>15</v>
      </c>
      <c r="M286" s="47">
        <v>0.66345388010000006</v>
      </c>
      <c r="N286" s="137" t="s">
        <v>259</v>
      </c>
      <c r="O286" s="111">
        <v>45766</v>
      </c>
      <c r="P286" s="111">
        <v>45767</v>
      </c>
      <c r="Q286" s="111">
        <v>45801</v>
      </c>
      <c r="R286" s="111">
        <v>45810</v>
      </c>
      <c r="S286" s="111">
        <v>45763</v>
      </c>
      <c r="T286" s="111">
        <v>45674</v>
      </c>
      <c r="U286" s="111">
        <v>45711</v>
      </c>
      <c r="V286" s="111">
        <v>45805</v>
      </c>
      <c r="W286" s="111">
        <v>45711</v>
      </c>
      <c r="X286" s="111">
        <v>45761</v>
      </c>
      <c r="Y286" s="137"/>
      <c r="Z286" s="171">
        <v>2.5608193874359131</v>
      </c>
      <c r="AA286" s="85">
        <v>2.1221532821655273</v>
      </c>
      <c r="AB286" s="194">
        <v>2.8206849098205566</v>
      </c>
      <c r="AC286" s="188">
        <v>2.3626372814178467</v>
      </c>
      <c r="AD286" s="84">
        <v>2.3504273891448975</v>
      </c>
      <c r="AE286" s="85">
        <v>2.0454545021057129</v>
      </c>
      <c r="AF286" s="171">
        <v>2.6136362552642822</v>
      </c>
      <c r="AG286" s="193">
        <v>2.5053305625915527</v>
      </c>
      <c r="AH286" s="171">
        <v>2.6845638751983643</v>
      </c>
      <c r="AI286" s="82">
        <v>2.8016009330749512</v>
      </c>
      <c r="AJ286" s="35">
        <v>144</v>
      </c>
      <c r="AK286" s="171">
        <v>62.78</v>
      </c>
      <c r="AL286" s="193">
        <v>64.290000000000006</v>
      </c>
      <c r="AM286" s="84">
        <v>65.150000000000006</v>
      </c>
      <c r="AN286" s="84">
        <v>66.2</v>
      </c>
      <c r="AO286" s="84">
        <v>66.7</v>
      </c>
    </row>
    <row r="287" spans="1:41" x14ac:dyDescent="0.3">
      <c r="A287" s="35">
        <v>145</v>
      </c>
      <c r="B287" s="235">
        <v>2.3255815505981445</v>
      </c>
      <c r="C287" s="248">
        <v>2.2975757122039795</v>
      </c>
      <c r="D287" s="249">
        <v>2.2459728717803955</v>
      </c>
      <c r="E287" s="237">
        <v>2.2147548198699951</v>
      </c>
      <c r="F287" s="237">
        <v>2.1251647472381592</v>
      </c>
      <c r="G287" s="238">
        <v>1.9961453676223755</v>
      </c>
      <c r="L287" s="16" t="s">
        <v>15</v>
      </c>
      <c r="M287" s="47">
        <v>0.72015777209999998</v>
      </c>
      <c r="N287" s="137" t="s">
        <v>298</v>
      </c>
      <c r="O287" s="111">
        <v>45763</v>
      </c>
      <c r="P287" s="111">
        <v>45764</v>
      </c>
      <c r="Q287" s="111">
        <v>45805</v>
      </c>
      <c r="R287" s="111">
        <v>45805</v>
      </c>
      <c r="S287" s="111">
        <v>45675</v>
      </c>
      <c r="T287" s="111">
        <v>45755</v>
      </c>
      <c r="U287" s="111">
        <v>45809</v>
      </c>
      <c r="V287" s="111">
        <v>45763</v>
      </c>
      <c r="W287" s="111">
        <v>45805</v>
      </c>
      <c r="X287" s="111">
        <v>45763</v>
      </c>
      <c r="Y287" s="137"/>
      <c r="Z287" s="193">
        <v>2.7472527027130127</v>
      </c>
      <c r="AA287" s="171">
        <v>2.6356589794158936</v>
      </c>
      <c r="AB287" s="194">
        <v>2.8729281425476074</v>
      </c>
      <c r="AC287" s="190">
        <v>3.0831878185272217</v>
      </c>
      <c r="AD287" s="171">
        <v>2.6919243335723877</v>
      </c>
      <c r="AE287" s="82">
        <v>2.9858849048614502</v>
      </c>
      <c r="AF287" s="190">
        <v>3.1372549533843994</v>
      </c>
      <c r="AG287" s="82">
        <v>2.8715364933013916</v>
      </c>
      <c r="AH287" s="194">
        <v>2.9989657402038574</v>
      </c>
      <c r="AI287" s="82">
        <v>2.8310940265655518</v>
      </c>
      <c r="AJ287" s="35">
        <v>145</v>
      </c>
      <c r="AK287" s="82">
        <v>62.35</v>
      </c>
      <c r="AL287" s="193">
        <v>63.11</v>
      </c>
      <c r="AM287" s="193">
        <v>64.56</v>
      </c>
      <c r="AN287" s="84">
        <v>65.47</v>
      </c>
      <c r="AO287" s="85">
        <v>68.23</v>
      </c>
    </row>
    <row r="288" spans="1:41" x14ac:dyDescent="0.3">
      <c r="A288" s="35">
        <v>146</v>
      </c>
      <c r="B288" s="248">
        <v>2.3705146312713623</v>
      </c>
      <c r="C288" s="234">
        <v>2.1729423999786377</v>
      </c>
      <c r="D288" s="234">
        <v>2.121476411819458</v>
      </c>
      <c r="E288" s="237">
        <v>2.087205171585083</v>
      </c>
      <c r="F288" s="238">
        <v>1.9271383285522461</v>
      </c>
      <c r="G288" s="238"/>
      <c r="L288" s="16" t="s">
        <v>15</v>
      </c>
      <c r="M288" s="47">
        <v>0.77915574360000006</v>
      </c>
      <c r="N288" s="137" t="s">
        <v>299</v>
      </c>
      <c r="O288" s="111">
        <v>45810</v>
      </c>
      <c r="P288" s="111">
        <v>45767</v>
      </c>
      <c r="Q288" s="111">
        <v>45801</v>
      </c>
      <c r="R288" s="111">
        <v>45805</v>
      </c>
      <c r="S288" s="111">
        <v>45800</v>
      </c>
      <c r="T288" s="111">
        <v>45763</v>
      </c>
      <c r="U288" s="111">
        <v>45800</v>
      </c>
      <c r="V288" s="111">
        <v>45805</v>
      </c>
      <c r="W288" s="111">
        <v>45804</v>
      </c>
      <c r="X288" s="111">
        <v>45767</v>
      </c>
      <c r="Y288" s="137"/>
      <c r="Z288" s="204">
        <v>3.2537961006164551</v>
      </c>
      <c r="AA288" s="190">
        <v>3.1737773418426514</v>
      </c>
      <c r="AB288" s="190">
        <v>3.0111703872680664</v>
      </c>
      <c r="AC288" s="194">
        <v>2.9112753868103027</v>
      </c>
      <c r="AD288" s="194">
        <v>2.8893904685974121</v>
      </c>
      <c r="AE288" s="16">
        <v>3.1340405941009521</v>
      </c>
      <c r="AF288" s="204">
        <v>3.2754342555999756</v>
      </c>
      <c r="AG288" s="190">
        <v>3.2196059226989746</v>
      </c>
      <c r="AH288" s="190">
        <v>3.0811057090759277</v>
      </c>
      <c r="AI288" s="16">
        <v>3.1622364521026611</v>
      </c>
      <c r="AJ288" s="35">
        <v>146</v>
      </c>
      <c r="AK288" s="194">
        <v>61.59</v>
      </c>
      <c r="AL288" s="84">
        <v>67.19</v>
      </c>
      <c r="AM288" s="85">
        <v>68.819999999999993</v>
      </c>
      <c r="AN288" s="85">
        <v>69.95</v>
      </c>
      <c r="AO288" s="87">
        <v>75.760000000000005</v>
      </c>
    </row>
    <row r="289" spans="1:41" x14ac:dyDescent="0.3">
      <c r="A289" s="35">
        <v>147</v>
      </c>
      <c r="B289" s="235">
        <v>2.494908332824707</v>
      </c>
      <c r="C289" s="235">
        <v>2.3351867198944092</v>
      </c>
      <c r="D289" s="235">
        <v>2.2587583065032959</v>
      </c>
      <c r="E289" s="237">
        <v>2.2453031539916992</v>
      </c>
      <c r="F289" s="237">
        <v>2.1719858646392822</v>
      </c>
      <c r="G289" s="237">
        <v>2.1710236072540283</v>
      </c>
      <c r="H289" s="237">
        <v>2.1042084693908691</v>
      </c>
      <c r="I289" s="237">
        <v>2.0999999046325684</v>
      </c>
      <c r="J289" s="238">
        <v>1.9848772287368774</v>
      </c>
      <c r="K289" s="284"/>
      <c r="L289" s="16" t="s">
        <v>15</v>
      </c>
      <c r="M289" s="47">
        <v>0.84021305939999991</v>
      </c>
      <c r="N289" s="137" t="s">
        <v>300</v>
      </c>
      <c r="O289" s="111">
        <v>45804</v>
      </c>
      <c r="P289" s="111">
        <v>45804</v>
      </c>
      <c r="Q289" s="111">
        <v>45716</v>
      </c>
      <c r="R289" s="111">
        <v>45762</v>
      </c>
      <c r="S289" s="111">
        <v>45763</v>
      </c>
      <c r="T289" s="111">
        <v>45793</v>
      </c>
      <c r="U289" s="111">
        <v>45762</v>
      </c>
      <c r="V289" s="111">
        <v>45762</v>
      </c>
      <c r="W289" s="111">
        <v>45763</v>
      </c>
      <c r="X289" s="111">
        <v>45807</v>
      </c>
      <c r="Y289" s="137"/>
      <c r="Z289" s="190">
        <v>3.1731641292572021</v>
      </c>
      <c r="AA289" s="190">
        <v>3.1724755764007568</v>
      </c>
      <c r="AB289" s="81">
        <v>3.3240997791290283</v>
      </c>
      <c r="AC289" s="190">
        <v>3.009068489074707</v>
      </c>
      <c r="AD289" s="16">
        <v>3.0303030014038086</v>
      </c>
      <c r="AE289" s="190">
        <v>3.2244195938110352</v>
      </c>
      <c r="AF289" s="82">
        <v>2.9675908088684082</v>
      </c>
      <c r="AG289" s="16">
        <v>3.1609194278717041</v>
      </c>
      <c r="AH289" s="190">
        <v>3.2324907779693604</v>
      </c>
      <c r="AI289" s="190">
        <v>3.0620155334472656</v>
      </c>
      <c r="AJ289" s="35">
        <v>147</v>
      </c>
      <c r="AK289" s="16">
        <v>58.92</v>
      </c>
      <c r="AL289" s="171">
        <v>62.95</v>
      </c>
      <c r="AM289" s="84">
        <v>65.08</v>
      </c>
      <c r="AN289" s="84">
        <v>65.47</v>
      </c>
      <c r="AO289" s="85">
        <v>67.680000000000007</v>
      </c>
    </row>
    <row r="290" spans="1:41" x14ac:dyDescent="0.3">
      <c r="A290" s="35">
        <v>148</v>
      </c>
      <c r="B290" s="247">
        <v>2.7036900520324707</v>
      </c>
      <c r="C290" s="248">
        <v>2.4183006286621094</v>
      </c>
      <c r="D290" s="248">
        <v>2.3499524593353271</v>
      </c>
      <c r="E290" s="239">
        <v>2.310694694519043</v>
      </c>
      <c r="F290" s="237">
        <v>2.1590080261230469</v>
      </c>
      <c r="G290" s="237">
        <v>2.1530404090881348</v>
      </c>
      <c r="H290" s="237">
        <v>2.1461718082427979</v>
      </c>
      <c r="I290" s="237">
        <v>2.1279654502868652</v>
      </c>
      <c r="J290" s="237">
        <v>2.0552699565887451</v>
      </c>
      <c r="K290" s="237"/>
      <c r="L290" s="16" t="s">
        <v>15</v>
      </c>
      <c r="M290" s="47">
        <v>0.90302170059999987</v>
      </c>
      <c r="N290" s="137" t="s">
        <v>301</v>
      </c>
      <c r="O290" s="111">
        <v>45810</v>
      </c>
      <c r="P290" s="111">
        <v>45793</v>
      </c>
      <c r="Q290" s="111">
        <v>45705</v>
      </c>
      <c r="R290" s="111">
        <v>45767</v>
      </c>
      <c r="S290" s="111">
        <v>45804</v>
      </c>
      <c r="T290" s="111">
        <v>45810</v>
      </c>
      <c r="U290" s="111">
        <v>45793</v>
      </c>
      <c r="V290" s="111"/>
      <c r="W290" s="111">
        <v>45777</v>
      </c>
      <c r="X290" s="111"/>
      <c r="Y290" s="137"/>
      <c r="Z290" s="204">
        <v>3.4364259243011475</v>
      </c>
      <c r="AA290" s="190">
        <v>3.1628270149230957</v>
      </c>
      <c r="AB290" s="16">
        <v>3.1635801792144775</v>
      </c>
      <c r="AC290" s="16">
        <v>3.2333462238311768</v>
      </c>
      <c r="AD290" s="190">
        <v>3.1157271862030029</v>
      </c>
      <c r="AE290" s="190">
        <v>3.1067249774932861</v>
      </c>
      <c r="AF290" s="190">
        <v>3.0048916339874268</v>
      </c>
      <c r="AG290" s="193"/>
      <c r="AH290" s="81">
        <v>3.36777663230896</v>
      </c>
      <c r="AI290" s="2"/>
      <c r="AJ290" s="35">
        <v>148</v>
      </c>
      <c r="AK290" s="191">
        <v>54.74</v>
      </c>
      <c r="AL290" s="194">
        <v>61.2</v>
      </c>
      <c r="AM290" s="193">
        <v>62.98</v>
      </c>
      <c r="AN290" s="171">
        <v>64.05</v>
      </c>
      <c r="AO290" s="85">
        <v>68.55</v>
      </c>
    </row>
    <row r="291" spans="1:41" x14ac:dyDescent="0.3">
      <c r="A291" s="35">
        <v>149</v>
      </c>
      <c r="B291" s="235">
        <v>2.4378273487091064</v>
      </c>
      <c r="C291" s="248">
        <v>2.3219573497772217</v>
      </c>
      <c r="D291" s="234">
        <v>2.1426517963409424</v>
      </c>
      <c r="E291" s="237">
        <v>2.0792629718780518</v>
      </c>
      <c r="F291" s="237">
        <v>2.0458600521087646</v>
      </c>
      <c r="G291" s="237">
        <v>2.0137856006622314</v>
      </c>
      <c r="L291" s="16" t="s">
        <v>15</v>
      </c>
      <c r="M291" s="47">
        <v>0.96741861320000011</v>
      </c>
      <c r="N291" s="47" t="s">
        <v>302</v>
      </c>
      <c r="O291" s="111">
        <v>45763</v>
      </c>
      <c r="P291" s="111">
        <v>45804</v>
      </c>
      <c r="Q291" s="111">
        <v>45805</v>
      </c>
      <c r="R291" s="111">
        <v>45780</v>
      </c>
      <c r="S291" s="111">
        <v>45763</v>
      </c>
      <c r="T291" s="111"/>
      <c r="U291" s="111"/>
      <c r="V291" s="111"/>
      <c r="W291" s="111">
        <v>45810</v>
      </c>
      <c r="X291" s="111">
        <v>45763</v>
      </c>
      <c r="Z291" s="82">
        <v>2.8427038192749023</v>
      </c>
      <c r="AA291" s="190">
        <v>3.0033004283905029</v>
      </c>
      <c r="AB291" s="204">
        <v>3.2554848194122314</v>
      </c>
      <c r="AC291" s="204">
        <v>3.342918872833252</v>
      </c>
      <c r="AD291" s="16">
        <v>3.0880420207977295</v>
      </c>
      <c r="AE291" s="2"/>
      <c r="AF291" s="2"/>
      <c r="AG291" s="2"/>
      <c r="AH291" s="194">
        <v>2.9607253074645996</v>
      </c>
      <c r="AI291" s="81">
        <v>3.3719346523284912</v>
      </c>
      <c r="AJ291" s="35">
        <v>149</v>
      </c>
      <c r="AK291" s="82">
        <v>61.12</v>
      </c>
      <c r="AL291" s="193">
        <v>64.17</v>
      </c>
      <c r="AM291" s="85">
        <v>69.540000000000006</v>
      </c>
      <c r="AN291" s="86">
        <v>71.66</v>
      </c>
      <c r="AO291" s="86">
        <v>72.83</v>
      </c>
    </row>
    <row r="292" spans="1:41" x14ac:dyDescent="0.3">
      <c r="A292" s="35">
        <v>150</v>
      </c>
      <c r="B292" s="248">
        <v>2.3419203758239746</v>
      </c>
      <c r="C292" s="235">
        <v>2.2869341373443604</v>
      </c>
      <c r="D292" s="234">
        <v>2.1431634426116943</v>
      </c>
      <c r="E292" s="237">
        <v>2.0204741954803467</v>
      </c>
      <c r="F292" s="238">
        <v>1.954397439956665</v>
      </c>
      <c r="G292" s="284"/>
      <c r="L292" s="35" t="s">
        <v>43</v>
      </c>
      <c r="M292" s="47">
        <v>1.0330579070000001</v>
      </c>
      <c r="N292" s="47" t="s">
        <v>273</v>
      </c>
      <c r="O292" s="111">
        <v>45793</v>
      </c>
      <c r="P292" s="111">
        <v>45761</v>
      </c>
      <c r="Q292" s="111">
        <v>45712</v>
      </c>
      <c r="R292" s="111"/>
      <c r="S292" s="111"/>
      <c r="T292" s="111"/>
      <c r="U292" s="111"/>
      <c r="V292" s="111"/>
      <c r="W292" s="111"/>
      <c r="X292" s="111"/>
      <c r="Z292" s="191">
        <v>3.6075036525726318</v>
      </c>
      <c r="AA292" s="16">
        <v>3.1163220405578613</v>
      </c>
      <c r="AB292" s="84">
        <v>2.3155505657196045</v>
      </c>
      <c r="AC292" s="2"/>
      <c r="AD292" s="2"/>
      <c r="AE292" s="2"/>
      <c r="AF292" s="2"/>
      <c r="AG292" s="2"/>
      <c r="AH292" s="2"/>
      <c r="AI292" s="2"/>
      <c r="AJ292" s="35">
        <v>150</v>
      </c>
      <c r="AK292" s="193">
        <v>64.05</v>
      </c>
      <c r="AL292" s="84">
        <v>65.59</v>
      </c>
      <c r="AM292" s="85">
        <v>69.989999999999995</v>
      </c>
      <c r="AN292" s="86">
        <v>74.239999999999995</v>
      </c>
      <c r="AO292" s="87">
        <v>76.75</v>
      </c>
    </row>
    <row r="293" spans="1:41" x14ac:dyDescent="0.3">
      <c r="A293" s="35">
        <v>151</v>
      </c>
      <c r="B293" s="235">
        <v>2.3113422393798828</v>
      </c>
      <c r="C293" s="235">
        <v>2.302180290222168</v>
      </c>
      <c r="D293" s="235">
        <v>2.301478385925293</v>
      </c>
      <c r="E293" s="237">
        <v>2.2350504398345947</v>
      </c>
      <c r="F293" s="237">
        <v>2.1692285537719727</v>
      </c>
      <c r="G293" s="237">
        <v>2.1658060550689697</v>
      </c>
      <c r="H293" s="237">
        <v>2.1639437675476074</v>
      </c>
      <c r="I293" s="237">
        <v>2.0377867221832275</v>
      </c>
      <c r="J293" s="237"/>
      <c r="L293" s="35" t="s">
        <v>43</v>
      </c>
      <c r="M293" s="47">
        <v>1.0996668985</v>
      </c>
      <c r="N293" s="47" t="s">
        <v>303</v>
      </c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35">
        <v>151</v>
      </c>
      <c r="AK293" s="84">
        <v>65.33</v>
      </c>
      <c r="AL293" s="84">
        <v>65.59</v>
      </c>
      <c r="AM293" s="84">
        <v>65.61</v>
      </c>
      <c r="AN293" s="85">
        <v>67.56</v>
      </c>
      <c r="AO293" s="85">
        <v>69.61</v>
      </c>
    </row>
    <row r="294" spans="1:41" x14ac:dyDescent="0.3">
      <c r="A294" s="35">
        <v>152</v>
      </c>
      <c r="B294" s="236">
        <v>2.6116838455200195</v>
      </c>
      <c r="C294" s="248">
        <v>2.4771838188171387</v>
      </c>
      <c r="D294" s="248">
        <v>2.4157662391662598</v>
      </c>
      <c r="E294" s="239">
        <v>2.3453171253204346</v>
      </c>
      <c r="F294" s="237">
        <v>2.2248244285583496</v>
      </c>
      <c r="G294" s="237">
        <v>2.1984379291534424</v>
      </c>
      <c r="H294" s="237">
        <v>2.1962144374847412</v>
      </c>
      <c r="I294" s="237">
        <v>2.1432600021362305</v>
      </c>
      <c r="J294" s="237">
        <v>2.002371072769165</v>
      </c>
      <c r="K294" s="238">
        <v>1.9467213153839111</v>
      </c>
      <c r="L294" s="35" t="s">
        <v>43</v>
      </c>
      <c r="M294" s="47">
        <v>1.1668490415999999</v>
      </c>
      <c r="N294" s="47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35">
        <v>152</v>
      </c>
      <c r="AK294" s="16">
        <v>58.2</v>
      </c>
      <c r="AL294" s="194">
        <v>61.36</v>
      </c>
      <c r="AM294" s="193">
        <v>62.92</v>
      </c>
      <c r="AN294" s="171">
        <v>64.81</v>
      </c>
      <c r="AO294" s="85">
        <v>68.319999999999993</v>
      </c>
    </row>
    <row r="295" spans="1:41" x14ac:dyDescent="0.3">
      <c r="A295" s="35">
        <v>153</v>
      </c>
      <c r="B295" s="235">
        <v>2.4590163230895996</v>
      </c>
      <c r="C295" s="235">
        <v>2.3854069709777832</v>
      </c>
      <c r="D295" s="235">
        <v>2.3571097850799561</v>
      </c>
      <c r="E295" s="237">
        <v>2.2173912525177002</v>
      </c>
      <c r="F295" s="237">
        <v>2.1637675762176514</v>
      </c>
      <c r="G295" s="237">
        <v>2.1395609378814697</v>
      </c>
      <c r="H295" s="237">
        <v>2.1306226253509521</v>
      </c>
      <c r="I295" s="237">
        <v>2.1300292015075684</v>
      </c>
      <c r="J295" s="237">
        <v>2.0005228519439697</v>
      </c>
      <c r="K295" s="238"/>
      <c r="L295" s="35" t="s">
        <v>43</v>
      </c>
      <c r="M295" s="47">
        <v>1.2342652403999999</v>
      </c>
      <c r="N295" s="47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35">
        <v>153</v>
      </c>
      <c r="AK295" s="82">
        <v>62.22</v>
      </c>
      <c r="AL295" s="171">
        <v>64.14</v>
      </c>
      <c r="AM295" s="171">
        <v>64.91</v>
      </c>
      <c r="AN295" s="85">
        <v>69</v>
      </c>
      <c r="AO295" s="86">
        <v>70.709999999999994</v>
      </c>
    </row>
    <row r="296" spans="1:41" x14ac:dyDescent="0.3">
      <c r="A296" s="35">
        <v>154</v>
      </c>
      <c r="B296" s="235">
        <v>2.34613037109375</v>
      </c>
      <c r="C296" s="248">
        <v>2.3143973350524902</v>
      </c>
      <c r="D296" s="234">
        <v>2.1959218978881836</v>
      </c>
      <c r="E296" s="237">
        <v>2.1853270530700684</v>
      </c>
      <c r="F296" s="237">
        <v>2.0383851528167725</v>
      </c>
      <c r="G296" s="237">
        <v>2.0273828506469727</v>
      </c>
      <c r="H296" s="237"/>
      <c r="I296" s="238"/>
      <c r="J296" s="284"/>
      <c r="L296" s="35" t="s">
        <v>43</v>
      </c>
      <c r="M296" s="47">
        <v>1.3015910546</v>
      </c>
      <c r="N296" s="47" t="s">
        <v>273</v>
      </c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35">
        <v>154</v>
      </c>
      <c r="AK296" s="84">
        <v>65.64</v>
      </c>
      <c r="AL296" s="188">
        <v>66.540000000000006</v>
      </c>
      <c r="AM296" s="86">
        <v>70.13</v>
      </c>
      <c r="AN296" s="86">
        <v>70.47</v>
      </c>
      <c r="AO296" s="87">
        <v>75.55</v>
      </c>
    </row>
    <row r="297" spans="1:41" x14ac:dyDescent="0.3">
      <c r="A297" s="35">
        <v>155</v>
      </c>
      <c r="B297" s="235">
        <v>2.4298479557037354</v>
      </c>
      <c r="C297" s="248">
        <v>2.4034733772277832</v>
      </c>
      <c r="D297" s="235">
        <v>2.3269779682159424</v>
      </c>
      <c r="E297" s="239">
        <v>2.3072342872619629</v>
      </c>
      <c r="F297" s="239">
        <v>2.3038051128387451</v>
      </c>
      <c r="G297" s="239">
        <v>2.3007271289825439</v>
      </c>
      <c r="H297" s="239">
        <v>2.2697319984436035</v>
      </c>
      <c r="I297" s="237">
        <v>2.2493104934692383</v>
      </c>
      <c r="J297" s="237">
        <v>2.1411798000335693</v>
      </c>
      <c r="K297" s="237">
        <v>2.0824935436248779</v>
      </c>
      <c r="L297" s="35" t="s">
        <v>43</v>
      </c>
      <c r="M297" s="47">
        <v>1.3683310226000001</v>
      </c>
      <c r="N297" s="47" t="s">
        <v>303</v>
      </c>
      <c r="O297" s="111"/>
      <c r="P297" s="111"/>
      <c r="Q297" s="111"/>
      <c r="R297" s="111"/>
      <c r="S297" s="111"/>
      <c r="T297" s="111"/>
      <c r="U297" s="111"/>
      <c r="V297" s="111"/>
      <c r="W297" s="111"/>
      <c r="X297" s="111">
        <v>45753</v>
      </c>
      <c r="Z297" s="2"/>
      <c r="AA297" s="2"/>
      <c r="AB297" s="2"/>
      <c r="AC297" s="2"/>
      <c r="AD297" s="2"/>
      <c r="AE297" s="2"/>
      <c r="AF297" s="2"/>
      <c r="AG297" s="2"/>
      <c r="AH297" s="2"/>
      <c r="AI297" s="86">
        <v>1.973138689994812</v>
      </c>
      <c r="AJ297" s="35">
        <v>155</v>
      </c>
      <c r="AK297" s="171">
        <v>63.79</v>
      </c>
      <c r="AL297" s="193">
        <v>64.489999999999995</v>
      </c>
      <c r="AM297" s="84">
        <v>66.61</v>
      </c>
      <c r="AN297" s="84">
        <v>67.180000000000007</v>
      </c>
      <c r="AO297" s="84">
        <v>67.28</v>
      </c>
    </row>
    <row r="298" spans="1:41" x14ac:dyDescent="0.3">
      <c r="A298" s="35">
        <v>156</v>
      </c>
      <c r="B298" s="235">
        <v>2.3948419094085693</v>
      </c>
      <c r="C298" s="235">
        <v>2.3875117301940918</v>
      </c>
      <c r="D298" s="248">
        <v>2.2783701419830322</v>
      </c>
      <c r="E298" s="237">
        <v>2.2080678939819336</v>
      </c>
      <c r="F298" s="237">
        <v>2.1830394268035889</v>
      </c>
      <c r="G298" s="237">
        <v>2.1678709983825684</v>
      </c>
      <c r="H298" s="237">
        <v>2.1393308639526367</v>
      </c>
      <c r="I298" s="237">
        <v>2.1244723796844482</v>
      </c>
      <c r="J298" s="238">
        <v>1.7430167198181152</v>
      </c>
      <c r="K298" s="238">
        <v>1.5267175436019897</v>
      </c>
      <c r="L298" s="35" t="s">
        <v>43</v>
      </c>
      <c r="M298" s="47">
        <v>1.4341457310000001</v>
      </c>
      <c r="N298" s="47" t="s">
        <v>304</v>
      </c>
      <c r="O298" s="111"/>
      <c r="P298" s="111"/>
      <c r="Q298" s="111">
        <v>45775</v>
      </c>
      <c r="R298" s="111">
        <v>45775</v>
      </c>
      <c r="S298" s="111"/>
      <c r="T298" s="111"/>
      <c r="U298" s="111"/>
      <c r="V298" s="111">
        <v>45704</v>
      </c>
      <c r="W298" s="111">
        <v>45750</v>
      </c>
      <c r="X298" s="111"/>
      <c r="Z298" s="2"/>
      <c r="AA298" s="2"/>
      <c r="AB298" s="86">
        <v>1.917033314704895</v>
      </c>
      <c r="AC298" s="85">
        <v>2.0858063697814941</v>
      </c>
      <c r="AD298" s="2"/>
      <c r="AE298" s="87"/>
      <c r="AF298" s="86"/>
      <c r="AG298" s="86">
        <v>1.930971622467041</v>
      </c>
      <c r="AH298" s="85">
        <v>2.1650879383087158</v>
      </c>
      <c r="AI298" s="2"/>
      <c r="AJ298" s="35">
        <v>156</v>
      </c>
      <c r="AK298" s="84">
        <v>65.14</v>
      </c>
      <c r="AL298" s="84">
        <v>65.34</v>
      </c>
      <c r="AM298" s="192">
        <v>68.47</v>
      </c>
      <c r="AN298" s="86">
        <v>70.650000000000006</v>
      </c>
      <c r="AO298" s="86">
        <v>71.459999999999994</v>
      </c>
    </row>
    <row r="299" spans="1:41" x14ac:dyDescent="0.3">
      <c r="A299" s="35">
        <v>157</v>
      </c>
      <c r="B299" s="236">
        <v>2.5027897357940674</v>
      </c>
      <c r="C299" s="235">
        <v>2.3112027645111084</v>
      </c>
      <c r="D299" s="235">
        <v>2.2839686870574951</v>
      </c>
      <c r="E299" s="239">
        <v>2.2674756050109863</v>
      </c>
      <c r="F299" s="239">
        <v>2.2576932907104492</v>
      </c>
      <c r="G299" s="239">
        <v>2.257368803024292</v>
      </c>
      <c r="H299" s="239">
        <v>2.2534806728363037</v>
      </c>
      <c r="I299" s="237">
        <v>2.1982638835906982</v>
      </c>
      <c r="J299" s="237">
        <v>2.1930439472198486</v>
      </c>
      <c r="K299" s="237">
        <v>2.1872389316558838</v>
      </c>
      <c r="L299" s="35" t="s">
        <v>43</v>
      </c>
      <c r="M299" s="47">
        <v>1.4985933655000001</v>
      </c>
      <c r="N299" s="47" t="s">
        <v>305</v>
      </c>
      <c r="O299" s="111"/>
      <c r="P299" s="111">
        <v>45773</v>
      </c>
      <c r="Q299" s="111">
        <v>45715</v>
      </c>
      <c r="R299" s="111"/>
      <c r="S299" s="111">
        <v>45754</v>
      </c>
      <c r="T299" s="111">
        <v>45745</v>
      </c>
      <c r="U299" s="111">
        <v>45801</v>
      </c>
      <c r="V299" s="111">
        <v>45761</v>
      </c>
      <c r="W299" s="111">
        <v>45767</v>
      </c>
      <c r="X299" s="111">
        <v>45754</v>
      </c>
      <c r="Z299" s="2"/>
      <c r="AA299" s="85">
        <v>2.0642924308776855</v>
      </c>
      <c r="AB299" s="86">
        <v>1.8822188377380371</v>
      </c>
      <c r="AC299" s="2"/>
      <c r="AD299" s="85">
        <v>2.0682203769683838</v>
      </c>
      <c r="AE299" s="85">
        <v>2.0466949939727783</v>
      </c>
      <c r="AF299" s="192">
        <v>2.0690703392028809</v>
      </c>
      <c r="AG299" s="84">
        <v>2.2799134254455566</v>
      </c>
      <c r="AH299" s="85">
        <v>2.1978020668029785</v>
      </c>
      <c r="AI299" s="85">
        <v>2.2394070625305176</v>
      </c>
      <c r="AJ299" s="35">
        <v>157</v>
      </c>
      <c r="AK299" s="171">
        <v>62.73</v>
      </c>
      <c r="AL299" s="85">
        <v>67.930000000000007</v>
      </c>
      <c r="AM299" s="85">
        <v>68.739999999999995</v>
      </c>
      <c r="AN299" s="85">
        <v>69.239999999999995</v>
      </c>
      <c r="AO299" s="85">
        <v>69.540000000000006</v>
      </c>
    </row>
    <row r="300" spans="1:41" x14ac:dyDescent="0.3">
      <c r="A300" s="35">
        <v>158</v>
      </c>
      <c r="B300" s="247">
        <v>2.6550159454345703</v>
      </c>
      <c r="C300" s="235">
        <v>2.3766546249389648</v>
      </c>
      <c r="D300" s="235">
        <v>2.3369324207305908</v>
      </c>
      <c r="E300" s="237">
        <v>2.1605360507965088</v>
      </c>
      <c r="F300" s="237">
        <v>2.0949351787567139</v>
      </c>
      <c r="G300" s="237">
        <v>2.0618557929992676</v>
      </c>
      <c r="H300" s="237">
        <v>2.0570240020751953</v>
      </c>
      <c r="I300" s="237">
        <v>2.0277206897735596</v>
      </c>
      <c r="J300" s="238">
        <v>1.9098271131515503</v>
      </c>
      <c r="K300" s="238"/>
      <c r="L300" s="35" t="s">
        <v>43</v>
      </c>
      <c r="M300" s="47">
        <v>1.5612343814</v>
      </c>
      <c r="N300" s="47" t="s">
        <v>306</v>
      </c>
      <c r="O300" s="111">
        <v>45767</v>
      </c>
      <c r="P300" s="111">
        <v>45752</v>
      </c>
      <c r="Q300" s="111">
        <v>45732</v>
      </c>
      <c r="R300" s="111">
        <v>45763</v>
      </c>
      <c r="S300" s="111">
        <v>45769</v>
      </c>
      <c r="T300" s="111">
        <v>45774</v>
      </c>
      <c r="U300" s="111">
        <v>45808</v>
      </c>
      <c r="V300" s="111">
        <v>45761</v>
      </c>
      <c r="W300" s="111">
        <v>45801</v>
      </c>
      <c r="X300" s="111">
        <v>45768</v>
      </c>
      <c r="Z300" s="84">
        <v>2.3553164005279541</v>
      </c>
      <c r="AA300" s="85">
        <v>2.069572925567627</v>
      </c>
      <c r="AB300" s="85">
        <v>2.0207769870758057</v>
      </c>
      <c r="AC300" s="84">
        <v>2.4787659645080566</v>
      </c>
      <c r="AD300" s="84">
        <v>2.2937240600585938</v>
      </c>
      <c r="AE300" s="84">
        <v>2.3255815505981445</v>
      </c>
      <c r="AF300" s="188">
        <v>2.3705146312713623</v>
      </c>
      <c r="AG300" s="84">
        <v>2.494908332824707</v>
      </c>
      <c r="AH300" s="193">
        <v>2.7036900520324707</v>
      </c>
      <c r="AI300" s="84">
        <v>2.4378273487091064</v>
      </c>
      <c r="AJ300" s="35">
        <v>158</v>
      </c>
      <c r="AK300" s="190">
        <v>59.51</v>
      </c>
      <c r="AL300" s="84">
        <v>66.48</v>
      </c>
      <c r="AM300" s="85">
        <v>67.61</v>
      </c>
      <c r="AN300" s="86">
        <v>73.13</v>
      </c>
      <c r="AO300" s="87">
        <v>75.42</v>
      </c>
    </row>
    <row r="301" spans="1:41" x14ac:dyDescent="0.3">
      <c r="A301" s="35">
        <v>159</v>
      </c>
      <c r="B301" s="247">
        <v>2.5682442188262939</v>
      </c>
      <c r="C301" s="248">
        <v>2.4427716732025146</v>
      </c>
      <c r="D301" s="235">
        <v>2.4248893260955811</v>
      </c>
      <c r="E301" s="239">
        <v>2.4120147228240967</v>
      </c>
      <c r="F301" s="239">
        <v>2.3749067783355713</v>
      </c>
      <c r="G301" s="239">
        <v>2.3259215354919434</v>
      </c>
      <c r="H301" s="239">
        <v>2.3127272129058838</v>
      </c>
      <c r="I301" s="239">
        <v>2.3086974620819092</v>
      </c>
      <c r="J301" s="239">
        <v>2.299349308013916</v>
      </c>
      <c r="K301" s="239">
        <v>2.2887578010559082</v>
      </c>
      <c r="L301" s="35" t="s">
        <v>43</v>
      </c>
      <c r="M301" s="47">
        <v>1.6217577194999999</v>
      </c>
      <c r="N301" s="137" t="s">
        <v>270</v>
      </c>
      <c r="O301" s="111">
        <v>45808</v>
      </c>
      <c r="P301" s="111">
        <v>45772</v>
      </c>
      <c r="Q301" s="111">
        <v>45779</v>
      </c>
      <c r="R301" s="111">
        <v>45761</v>
      </c>
      <c r="S301" s="111">
        <v>45777</v>
      </c>
      <c r="T301" s="111">
        <v>45778</v>
      </c>
      <c r="U301" s="111">
        <v>45761</v>
      </c>
      <c r="V301" s="111">
        <v>45778</v>
      </c>
      <c r="W301" s="111">
        <v>45809</v>
      </c>
      <c r="X301" s="111">
        <v>45807</v>
      </c>
      <c r="Y301" s="137"/>
      <c r="Z301" s="188">
        <v>2.3419203758239746</v>
      </c>
      <c r="AA301" s="84">
        <v>2.3113422393798828</v>
      </c>
      <c r="AB301" s="171">
        <v>2.6116838455200195</v>
      </c>
      <c r="AC301" s="84">
        <v>2.4590163230895996</v>
      </c>
      <c r="AD301" s="84">
        <v>2.34613037109375</v>
      </c>
      <c r="AE301" s="84">
        <v>2.4298479557037354</v>
      </c>
      <c r="AF301" s="84">
        <v>2.3948419094085693</v>
      </c>
      <c r="AG301" s="171">
        <v>2.5027897357940674</v>
      </c>
      <c r="AH301" s="193">
        <v>2.6550159454345703</v>
      </c>
      <c r="AI301" s="193">
        <v>2.5682442188262939</v>
      </c>
      <c r="AJ301" s="35">
        <v>159</v>
      </c>
      <c r="AK301" s="194">
        <v>61.91</v>
      </c>
      <c r="AL301" s="188">
        <v>65.09</v>
      </c>
      <c r="AM301" s="84">
        <v>65.569999999999993</v>
      </c>
      <c r="AN301" s="84">
        <v>65.92</v>
      </c>
      <c r="AO301" s="84">
        <v>66.95</v>
      </c>
    </row>
    <row r="302" spans="1:41" x14ac:dyDescent="0.3">
      <c r="A302" s="35">
        <v>160</v>
      </c>
      <c r="B302" s="236">
        <v>2.661344051361084</v>
      </c>
      <c r="C302" s="236">
        <v>2.5628705024719238</v>
      </c>
      <c r="D302" s="248">
        <v>2.3700191974639893</v>
      </c>
      <c r="E302" s="239">
        <v>2.3021583557128906</v>
      </c>
      <c r="F302" s="237">
        <v>2.2259321212768555</v>
      </c>
      <c r="G302" s="237">
        <v>2.2219135761260986</v>
      </c>
      <c r="H302" s="237">
        <v>2.1999173164367676</v>
      </c>
      <c r="I302" s="237">
        <v>2.199312686920166</v>
      </c>
      <c r="J302" s="237">
        <v>2.1470746994018555</v>
      </c>
      <c r="K302" s="238">
        <v>1.9748210906982422</v>
      </c>
      <c r="L302" s="35" t="s">
        <v>43</v>
      </c>
      <c r="M302" s="47">
        <v>1.6795886518000001</v>
      </c>
      <c r="N302" s="137" t="s">
        <v>271</v>
      </c>
      <c r="O302" s="111">
        <v>45772</v>
      </c>
      <c r="P302" s="111">
        <v>45766</v>
      </c>
      <c r="Q302" s="111">
        <v>45780</v>
      </c>
      <c r="R302" s="111">
        <v>45754</v>
      </c>
      <c r="S302" s="111">
        <v>45770</v>
      </c>
      <c r="T302" s="111">
        <v>45794</v>
      </c>
      <c r="U302" s="111">
        <v>45809</v>
      </c>
      <c r="V302" s="111">
        <v>45730</v>
      </c>
      <c r="W302" s="111">
        <v>45763</v>
      </c>
      <c r="X302" s="111">
        <v>45794</v>
      </c>
      <c r="Y302" s="137"/>
      <c r="Z302" s="171">
        <v>2.661344051361084</v>
      </c>
      <c r="AA302" s="171">
        <v>2.5821974277496338</v>
      </c>
      <c r="AB302" s="193">
        <v>2.5600507259368896</v>
      </c>
      <c r="AC302" s="193">
        <v>2.5754463672637939</v>
      </c>
      <c r="AD302" s="84">
        <v>2.466536283493042</v>
      </c>
      <c r="AE302" s="193">
        <v>2.6459269523620605</v>
      </c>
      <c r="AF302" s="193">
        <v>2.6900017261505127</v>
      </c>
      <c r="AG302" s="171">
        <v>2.5692307949066162</v>
      </c>
      <c r="AH302" s="171">
        <v>2.6419248580932617</v>
      </c>
      <c r="AI302" s="193">
        <v>2.5590550899505615</v>
      </c>
      <c r="AJ302" s="35">
        <v>160</v>
      </c>
      <c r="AK302" s="82">
        <v>60.12</v>
      </c>
      <c r="AL302" s="82">
        <v>62.43</v>
      </c>
      <c r="AM302" s="192">
        <v>67.510000000000005</v>
      </c>
      <c r="AN302" s="85">
        <v>69.5</v>
      </c>
      <c r="AO302" s="86">
        <v>71.88</v>
      </c>
    </row>
    <row r="303" spans="1:41" x14ac:dyDescent="0.3">
      <c r="A303" s="35">
        <v>161</v>
      </c>
      <c r="B303" s="236">
        <v>2.5821974277496338</v>
      </c>
      <c r="C303" s="236">
        <v>2.522324800491333</v>
      </c>
      <c r="D303" s="235">
        <v>2.4953503608703613</v>
      </c>
      <c r="E303" s="239">
        <v>2.3827142715454102</v>
      </c>
      <c r="F303" s="239">
        <v>2.3357028961181641</v>
      </c>
      <c r="G303" s="237">
        <v>2.155576229095459</v>
      </c>
      <c r="H303" s="237">
        <v>2.1409575939178467</v>
      </c>
      <c r="I303" s="237"/>
      <c r="L303" s="35" t="s">
        <v>43</v>
      </c>
      <c r="M303" s="47">
        <v>1.7344655053</v>
      </c>
      <c r="N303" s="137" t="s">
        <v>253</v>
      </c>
      <c r="O303" s="111">
        <v>45782</v>
      </c>
      <c r="P303" s="111">
        <v>45801</v>
      </c>
      <c r="Q303" s="111">
        <v>45783</v>
      </c>
      <c r="R303" s="111">
        <v>45767</v>
      </c>
      <c r="S303" s="111">
        <v>45809</v>
      </c>
      <c r="T303" s="111">
        <v>45804</v>
      </c>
      <c r="U303" s="111">
        <v>45800</v>
      </c>
      <c r="V303" s="111">
        <v>45783</v>
      </c>
      <c r="W303" s="111">
        <v>45779</v>
      </c>
      <c r="X303" s="111">
        <v>45804</v>
      </c>
      <c r="Y303" s="137"/>
      <c r="Z303" s="193">
        <v>2.6813879013061523</v>
      </c>
      <c r="AA303" s="194">
        <v>2.8865630626678467</v>
      </c>
      <c r="AB303" s="194">
        <v>2.7913014888763428</v>
      </c>
      <c r="AC303" s="193">
        <v>2.5944809913635254</v>
      </c>
      <c r="AD303" s="193">
        <v>2.6814608573913574</v>
      </c>
      <c r="AE303" s="193">
        <v>2.6782982349395752</v>
      </c>
      <c r="AF303" s="193">
        <v>2.6066350936889648</v>
      </c>
      <c r="AG303" s="193">
        <v>2.7480204105377197</v>
      </c>
      <c r="AH303" s="82">
        <v>2.8677299022674561</v>
      </c>
      <c r="AI303" s="193">
        <v>2.6089491844177246</v>
      </c>
      <c r="AJ303" s="35">
        <v>161</v>
      </c>
      <c r="AK303" s="82">
        <v>62.35</v>
      </c>
      <c r="AL303" s="171">
        <v>63.83</v>
      </c>
      <c r="AM303" s="171">
        <v>64.52</v>
      </c>
      <c r="AN303" s="85">
        <v>67.569999999999993</v>
      </c>
      <c r="AO303" s="85">
        <v>68.930000000000007</v>
      </c>
    </row>
    <row r="304" spans="1:41" x14ac:dyDescent="0.3">
      <c r="A304" s="35">
        <v>162</v>
      </c>
      <c r="B304" s="247">
        <v>2.5600507259368896</v>
      </c>
      <c r="C304" s="236">
        <v>2.5296688079833984</v>
      </c>
      <c r="D304" s="235">
        <v>2.4284214973449707</v>
      </c>
      <c r="E304" s="239">
        <v>2.4208009243011475</v>
      </c>
      <c r="F304" s="239">
        <v>2.3816525936126709</v>
      </c>
      <c r="G304" s="239">
        <v>2.3519165515899658</v>
      </c>
      <c r="H304" s="239">
        <v>2.3156089782714844</v>
      </c>
      <c r="I304" s="239">
        <v>2.2756004333496094</v>
      </c>
      <c r="J304" s="237">
        <v>2.1135029792785645</v>
      </c>
      <c r="K304" s="237">
        <v>2.1118497848510742</v>
      </c>
      <c r="L304" s="35" t="s">
        <v>43</v>
      </c>
      <c r="M304" s="47">
        <v>1.7859966222999999</v>
      </c>
      <c r="N304" s="137" t="s">
        <v>254</v>
      </c>
      <c r="O304" s="111">
        <v>45751</v>
      </c>
      <c r="P304" s="111">
        <v>45808</v>
      </c>
      <c r="Q304" s="111">
        <v>45808</v>
      </c>
      <c r="R304" s="111">
        <v>45806</v>
      </c>
      <c r="S304" s="111">
        <v>45775</v>
      </c>
      <c r="T304" s="111">
        <v>45772</v>
      </c>
      <c r="U304" s="111">
        <v>45776</v>
      </c>
      <c r="V304" s="111">
        <v>45782</v>
      </c>
      <c r="W304" s="111">
        <v>45807</v>
      </c>
      <c r="X304" s="111">
        <v>45775</v>
      </c>
      <c r="Y304" s="137"/>
      <c r="Z304" s="171">
        <v>2.5495750904083252</v>
      </c>
      <c r="AA304" s="194">
        <v>2.7633588314056396</v>
      </c>
      <c r="AB304" s="193">
        <v>2.6511287689208984</v>
      </c>
      <c r="AC304" s="194">
        <v>2.7841167449951172</v>
      </c>
      <c r="AD304" s="171">
        <v>2.6892721652984619</v>
      </c>
      <c r="AE304" s="171">
        <v>2.6466379165649414</v>
      </c>
      <c r="AF304" s="171">
        <v>2.6101598739624023</v>
      </c>
      <c r="AG304" s="193">
        <v>2.6382620334625244</v>
      </c>
      <c r="AH304" s="194">
        <v>2.7798316478729248</v>
      </c>
      <c r="AI304" s="171">
        <v>2.6448361873626709</v>
      </c>
      <c r="AJ304" s="35">
        <v>162</v>
      </c>
      <c r="AK304" s="193">
        <v>63.28</v>
      </c>
      <c r="AL304" s="171">
        <v>64.040000000000006</v>
      </c>
      <c r="AM304" s="84">
        <v>66.709999999999994</v>
      </c>
      <c r="AN304" s="84">
        <v>66.92</v>
      </c>
      <c r="AO304" s="85">
        <v>68.02</v>
      </c>
    </row>
    <row r="305" spans="1:41" x14ac:dyDescent="0.3">
      <c r="A305" s="35">
        <v>163</v>
      </c>
      <c r="B305" s="247">
        <v>2.5754463672637939</v>
      </c>
      <c r="C305" s="248">
        <v>2.3252496719360352</v>
      </c>
      <c r="D305" s="235">
        <v>2.3094360828399658</v>
      </c>
      <c r="E305" s="239">
        <v>2.3074746131896973</v>
      </c>
      <c r="F305" s="239">
        <v>2.2548069953918457</v>
      </c>
      <c r="G305" s="237">
        <v>2.1626641750335693</v>
      </c>
      <c r="H305" s="237">
        <v>2.0727365016937256</v>
      </c>
      <c r="I305" s="238"/>
      <c r="J305" s="238"/>
      <c r="L305" s="35" t="s">
        <v>43</v>
      </c>
      <c r="M305" s="47">
        <v>1.8338012197</v>
      </c>
      <c r="N305" s="137" t="s">
        <v>255</v>
      </c>
      <c r="O305" s="111">
        <v>45773</v>
      </c>
      <c r="P305" s="111">
        <v>45749</v>
      </c>
      <c r="Q305" s="111">
        <v>45806</v>
      </c>
      <c r="R305" s="111">
        <v>45797</v>
      </c>
      <c r="S305" s="111">
        <v>45807</v>
      </c>
      <c r="T305" s="111">
        <v>45705</v>
      </c>
      <c r="U305" s="111">
        <v>45782</v>
      </c>
      <c r="V305" s="111">
        <v>45765</v>
      </c>
      <c r="W305" s="111">
        <v>45791</v>
      </c>
      <c r="X305" s="111">
        <v>45779</v>
      </c>
      <c r="Y305" s="137"/>
      <c r="Z305" s="171">
        <v>2.6221363544464111</v>
      </c>
      <c r="AA305" s="171">
        <v>2.6609084606170654</v>
      </c>
      <c r="AB305" s="194">
        <v>2.7781796455383301</v>
      </c>
      <c r="AC305" s="193">
        <v>2.7076318264007568</v>
      </c>
      <c r="AD305" s="194">
        <v>2.7841560840606689</v>
      </c>
      <c r="AE305" s="193">
        <v>2.6333556175231934</v>
      </c>
      <c r="AF305" s="194">
        <v>2.9253730773925781</v>
      </c>
      <c r="AG305" s="171">
        <v>2.7172412872314453</v>
      </c>
      <c r="AH305" s="193">
        <v>2.6949775218963623</v>
      </c>
      <c r="AI305" s="82">
        <v>2.9808268547058105</v>
      </c>
      <c r="AJ305" s="35">
        <v>163</v>
      </c>
      <c r="AK305" s="193">
        <v>63.29</v>
      </c>
      <c r="AL305" s="200">
        <v>70.099999999999994</v>
      </c>
      <c r="AM305" s="86">
        <v>70.58</v>
      </c>
      <c r="AN305" s="86">
        <v>70.64</v>
      </c>
      <c r="AO305" s="86">
        <v>72.290000000000006</v>
      </c>
    </row>
    <row r="306" spans="1:41" x14ac:dyDescent="0.3">
      <c r="A306" s="35">
        <v>164</v>
      </c>
      <c r="B306" s="235">
        <v>2.466536283493042</v>
      </c>
      <c r="C306" s="235">
        <v>2.4650533199310303</v>
      </c>
      <c r="D306" s="235">
        <v>2.4643123149871826</v>
      </c>
      <c r="E306" s="239">
        <v>2.3672056198120117</v>
      </c>
      <c r="F306" s="239">
        <v>2.36277174949646</v>
      </c>
      <c r="G306" s="239">
        <v>2.3415191173553467</v>
      </c>
      <c r="H306" s="239">
        <v>2.3072593212127686</v>
      </c>
      <c r="I306" s="239">
        <v>2.3024005889892578</v>
      </c>
      <c r="J306" s="237">
        <v>2.245652437210083</v>
      </c>
      <c r="K306" s="237">
        <v>2.2285637855529785</v>
      </c>
      <c r="L306" s="35" t="s">
        <v>43</v>
      </c>
      <c r="M306" s="47">
        <v>1.8774985163999998</v>
      </c>
      <c r="N306" s="47" t="s">
        <v>256</v>
      </c>
      <c r="O306" s="111">
        <v>45760</v>
      </c>
      <c r="P306" s="111">
        <v>45742</v>
      </c>
      <c r="Q306" s="111">
        <v>45763</v>
      </c>
      <c r="R306" s="111">
        <v>45696</v>
      </c>
      <c r="S306" s="111">
        <v>45792</v>
      </c>
      <c r="T306" s="111">
        <v>45769</v>
      </c>
      <c r="U306" s="111">
        <v>45755</v>
      </c>
      <c r="V306" s="111">
        <v>45772</v>
      </c>
      <c r="W306" s="111">
        <v>45771</v>
      </c>
      <c r="X306" s="111">
        <v>45775</v>
      </c>
      <c r="Z306" s="171">
        <v>2.6954178810119629</v>
      </c>
      <c r="AA306" s="171">
        <v>2.6333026885986328</v>
      </c>
      <c r="AB306" s="171">
        <v>2.686884880065918</v>
      </c>
      <c r="AC306" s="84">
        <v>2.3921754360198975</v>
      </c>
      <c r="AD306" s="194">
        <v>2.7530364990234375</v>
      </c>
      <c r="AE306" s="171">
        <v>2.7271518707275391</v>
      </c>
      <c r="AF306" s="171">
        <v>2.716961145401001</v>
      </c>
      <c r="AG306" s="82">
        <v>2.8197791576385498</v>
      </c>
      <c r="AH306" s="171">
        <v>2.7065713405609131</v>
      </c>
      <c r="AI306" s="171">
        <v>2.6118471622467041</v>
      </c>
      <c r="AJ306" s="35">
        <v>164</v>
      </c>
      <c r="AK306" s="84">
        <v>66.489999999999995</v>
      </c>
      <c r="AL306" s="84">
        <v>66.53</v>
      </c>
      <c r="AM306" s="84">
        <v>66.55</v>
      </c>
      <c r="AN306" s="85">
        <v>69.28</v>
      </c>
      <c r="AO306" s="85">
        <v>69.41</v>
      </c>
    </row>
    <row r="307" spans="1:41" x14ac:dyDescent="0.3">
      <c r="A307" s="35">
        <v>165</v>
      </c>
      <c r="B307" s="247">
        <v>2.6459269523620605</v>
      </c>
      <c r="C307" s="236">
        <v>2.5194687843322754</v>
      </c>
      <c r="D307" s="235">
        <v>2.4868123531341553</v>
      </c>
      <c r="E307" s="239">
        <v>2.435783863067627</v>
      </c>
      <c r="F307" s="239">
        <v>2.3608527183532715</v>
      </c>
      <c r="G307" s="237">
        <v>2.2234201431274414</v>
      </c>
      <c r="H307" s="237"/>
      <c r="I307" s="238"/>
      <c r="J307" s="284"/>
      <c r="K307" s="282"/>
      <c r="L307" s="35" t="s">
        <v>43</v>
      </c>
      <c r="M307" s="47">
        <v>1.9168762161000001</v>
      </c>
      <c r="N307" s="47" t="s">
        <v>257</v>
      </c>
      <c r="O307" s="111">
        <v>45707</v>
      </c>
      <c r="P307" s="111">
        <v>45753</v>
      </c>
      <c r="Q307" s="111"/>
      <c r="R307" s="111"/>
      <c r="S307" s="111">
        <v>45705</v>
      </c>
      <c r="T307" s="111"/>
      <c r="U307" s="111"/>
      <c r="V307" s="111">
        <v>45808</v>
      </c>
      <c r="W307" s="111"/>
      <c r="X307" s="111"/>
      <c r="Z307" s="171">
        <v>2.6772053241729736</v>
      </c>
      <c r="AA307" s="171">
        <v>2.6497552394866943</v>
      </c>
      <c r="AB307" s="2"/>
      <c r="AC307" s="2"/>
      <c r="AD307" s="84">
        <v>2.324570894241333</v>
      </c>
      <c r="AE307" s="2"/>
      <c r="AF307" s="2"/>
      <c r="AG307" s="193">
        <v>2.7461402416229248</v>
      </c>
      <c r="AH307" s="2"/>
      <c r="AI307" s="86"/>
      <c r="AJ307" s="35">
        <v>165</v>
      </c>
      <c r="AK307" s="194">
        <v>62.36</v>
      </c>
      <c r="AL307" s="84">
        <v>65.489999999999995</v>
      </c>
      <c r="AM307" s="84">
        <v>66.349999999999994</v>
      </c>
      <c r="AN307" s="85">
        <v>67.739999999999995</v>
      </c>
      <c r="AO307" s="85">
        <v>69.89</v>
      </c>
    </row>
    <row r="308" spans="1:41" x14ac:dyDescent="0.3">
      <c r="A308" s="35">
        <v>166</v>
      </c>
      <c r="B308" s="247">
        <v>2.6900017261505127</v>
      </c>
      <c r="C308" s="247">
        <v>2.6092424392700195</v>
      </c>
      <c r="D308" s="247">
        <v>2.5577812194824219</v>
      </c>
      <c r="E308" s="239">
        <v>2.3878021240234375</v>
      </c>
      <c r="F308" s="239">
        <v>2.3337552547454834</v>
      </c>
      <c r="G308" s="239">
        <v>2.2982139587402344</v>
      </c>
      <c r="H308" s="237">
        <v>2.2030525207519531</v>
      </c>
      <c r="I308" s="237">
        <v>2.1859362125396729</v>
      </c>
      <c r="J308" s="237">
        <v>2.1141111850738525</v>
      </c>
      <c r="K308" s="237">
        <v>2.0547096729278564</v>
      </c>
      <c r="L308" s="35" t="s">
        <v>43</v>
      </c>
      <c r="M308" s="47">
        <v>1.9516376583999999</v>
      </c>
      <c r="N308" s="47" t="s">
        <v>258</v>
      </c>
      <c r="O308" s="111">
        <v>45790</v>
      </c>
      <c r="P308" s="111">
        <v>45733</v>
      </c>
      <c r="Q308" s="111"/>
      <c r="R308" s="111">
        <v>45765</v>
      </c>
      <c r="S308" s="111">
        <v>45785</v>
      </c>
      <c r="T308" s="111"/>
      <c r="U308" s="111"/>
      <c r="V308" s="111"/>
      <c r="W308" s="111"/>
      <c r="X308" s="111"/>
      <c r="Z308" s="194">
        <v>2.8032617568969727</v>
      </c>
      <c r="AA308" s="82">
        <v>2.8358783721923828</v>
      </c>
      <c r="AB308" s="2"/>
      <c r="AC308" s="171">
        <v>2.6130771636962891</v>
      </c>
      <c r="AD308" s="194">
        <v>2.8466131687164307</v>
      </c>
      <c r="AE308" s="86"/>
      <c r="AF308" s="2"/>
      <c r="AG308" s="2"/>
      <c r="AH308" s="2"/>
      <c r="AI308" s="2"/>
      <c r="AJ308" s="35">
        <v>166</v>
      </c>
      <c r="AK308" s="194">
        <v>61.71</v>
      </c>
      <c r="AL308" s="193">
        <v>63.62</v>
      </c>
      <c r="AM308" s="193">
        <v>64.900000000000006</v>
      </c>
      <c r="AN308" s="85">
        <v>69.52</v>
      </c>
      <c r="AO308" s="86">
        <v>71.13</v>
      </c>
    </row>
    <row r="309" spans="1:41" x14ac:dyDescent="0.3">
      <c r="A309" s="35">
        <v>167</v>
      </c>
      <c r="B309" s="236">
        <v>2.5692307949066162</v>
      </c>
      <c r="C309" s="247">
        <v>2.5310699939727783</v>
      </c>
      <c r="D309" s="247">
        <v>2.500748872756958</v>
      </c>
      <c r="E309" s="239">
        <v>2.3840112686157227</v>
      </c>
      <c r="F309" s="239">
        <v>2.3779010772705078</v>
      </c>
      <c r="G309" s="239">
        <v>2.3687944412231445</v>
      </c>
      <c r="H309" s="239">
        <v>2.3481438159942627</v>
      </c>
      <c r="I309" s="239">
        <v>2.3207337856292725</v>
      </c>
      <c r="J309" s="239">
        <v>2.3123788833618164</v>
      </c>
      <c r="K309" s="239">
        <v>2.3050379753112793</v>
      </c>
      <c r="L309" s="35" t="s">
        <v>43</v>
      </c>
      <c r="M309" s="47">
        <v>1.9814853890000002</v>
      </c>
      <c r="N309" s="47" t="s">
        <v>307</v>
      </c>
      <c r="O309" s="111">
        <v>45716</v>
      </c>
      <c r="P309" s="111"/>
      <c r="Q309" s="111"/>
      <c r="R309" s="111">
        <v>45779</v>
      </c>
      <c r="S309" s="111"/>
      <c r="T309" s="111"/>
      <c r="U309" s="111"/>
      <c r="V309" s="111"/>
      <c r="W309" s="111"/>
      <c r="X309" s="111"/>
      <c r="Z309" s="171">
        <v>2.6050515174865723</v>
      </c>
      <c r="AA309" s="2"/>
      <c r="AB309" s="2"/>
      <c r="AC309" s="82">
        <v>2.9326622486114502</v>
      </c>
      <c r="AD309" s="2"/>
      <c r="AE309" s="2"/>
      <c r="AF309" s="2"/>
      <c r="AG309" s="2"/>
      <c r="AH309" s="2"/>
      <c r="AI309" s="2"/>
      <c r="AJ309" s="35">
        <v>167</v>
      </c>
      <c r="AK309" s="84">
        <v>65</v>
      </c>
      <c r="AL309" s="188">
        <v>65.98</v>
      </c>
      <c r="AM309" s="188">
        <v>66.78</v>
      </c>
      <c r="AN309" s="86">
        <v>70.05</v>
      </c>
      <c r="AO309" s="86">
        <v>70.23</v>
      </c>
    </row>
    <row r="310" spans="1:41" x14ac:dyDescent="0.3">
      <c r="A310" s="35">
        <v>168</v>
      </c>
      <c r="B310" s="236">
        <v>2.6419248580932617</v>
      </c>
      <c r="C310" s="247">
        <v>2.6229507923126221</v>
      </c>
      <c r="D310" s="247">
        <v>2.6180458068847656</v>
      </c>
      <c r="E310" s="239">
        <v>2.4017155170440674</v>
      </c>
      <c r="F310" s="239">
        <v>2.3745582103729248</v>
      </c>
      <c r="G310" s="239">
        <v>2.3552501201629639</v>
      </c>
      <c r="H310" s="239">
        <v>2.3460409641265869</v>
      </c>
      <c r="I310" s="239">
        <v>2.3288052082061768</v>
      </c>
      <c r="J310" s="237">
        <v>2.1975147724151611</v>
      </c>
      <c r="K310" s="237">
        <v>2.18068528175354</v>
      </c>
      <c r="L310" s="35" t="s">
        <v>43</v>
      </c>
      <c r="M310" s="47">
        <v>2.0063111215</v>
      </c>
      <c r="N310" s="47" t="s">
        <v>308</v>
      </c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35">
        <v>168</v>
      </c>
      <c r="AK310" s="171">
        <v>63.59</v>
      </c>
      <c r="AL310" s="193">
        <v>64.05</v>
      </c>
      <c r="AM310" s="193">
        <v>64.17</v>
      </c>
      <c r="AN310" s="85">
        <v>69.95</v>
      </c>
      <c r="AO310" s="86">
        <v>70.75</v>
      </c>
    </row>
    <row r="311" spans="1:41" x14ac:dyDescent="0.3">
      <c r="A311" s="35">
        <v>169</v>
      </c>
      <c r="B311" s="247">
        <v>2.5590550899505615</v>
      </c>
      <c r="C311" s="247">
        <v>2.5272917747497559</v>
      </c>
      <c r="D311" s="236">
        <v>2.5100252628326416</v>
      </c>
      <c r="E311" s="239">
        <v>2.4278120994567871</v>
      </c>
      <c r="F311" s="239">
        <v>2.3586881160736084</v>
      </c>
      <c r="G311" s="239">
        <v>2.2807018756866455</v>
      </c>
      <c r="H311" s="239">
        <v>2.2503328323364258</v>
      </c>
      <c r="I311" s="237">
        <v>2.234858512878418</v>
      </c>
      <c r="J311" s="237">
        <v>2.1528661251068115</v>
      </c>
      <c r="K311" s="237">
        <v>2.1438539028167725</v>
      </c>
      <c r="L311" s="35" t="s">
        <v>43</v>
      </c>
      <c r="M311" s="47">
        <v>2.0259088711</v>
      </c>
      <c r="N311" s="47" t="s">
        <v>309</v>
      </c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35">
        <v>169</v>
      </c>
      <c r="AK311" s="188">
        <v>66.040000000000006</v>
      </c>
      <c r="AL311" s="188">
        <v>66.87</v>
      </c>
      <c r="AM311" s="84">
        <v>67.33</v>
      </c>
      <c r="AN311" s="85">
        <v>69.61</v>
      </c>
      <c r="AO311" s="86">
        <v>71.650000000000006</v>
      </c>
    </row>
    <row r="312" spans="1:41" x14ac:dyDescent="0.3">
      <c r="A312" s="35">
        <v>170</v>
      </c>
      <c r="B312" s="247">
        <v>2.6813879013061523</v>
      </c>
      <c r="C312" s="247">
        <v>2.6691789627075195</v>
      </c>
      <c r="D312" s="236">
        <v>2.5275051593780518</v>
      </c>
      <c r="E312" s="225">
        <v>2.5081145763397217</v>
      </c>
      <c r="F312" s="239">
        <v>2.4199287891387939</v>
      </c>
      <c r="G312" s="239">
        <v>2.3598001003265381</v>
      </c>
      <c r="H312" s="239">
        <v>2.3284480571746826</v>
      </c>
      <c r="I312" s="239">
        <v>2.3144998550415039</v>
      </c>
      <c r="J312" s="239">
        <v>2.3113527297973633</v>
      </c>
      <c r="K312" s="239">
        <v>2.2591361999511719</v>
      </c>
      <c r="L312" s="35" t="s">
        <v>43</v>
      </c>
      <c r="M312" s="47">
        <v>2.0401837479</v>
      </c>
      <c r="N312" s="47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35">
        <v>170</v>
      </c>
      <c r="AK312" s="193">
        <v>63.4</v>
      </c>
      <c r="AL312" s="193">
        <v>63.69</v>
      </c>
      <c r="AM312" s="84">
        <v>67.260000000000005</v>
      </c>
      <c r="AN312" s="85">
        <v>67.78</v>
      </c>
      <c r="AO312" s="86">
        <v>70.25</v>
      </c>
    </row>
    <row r="313" spans="1:41" x14ac:dyDescent="0.3">
      <c r="A313" s="35">
        <v>171</v>
      </c>
      <c r="B313" s="246">
        <v>2.8865630626678467</v>
      </c>
      <c r="C313" s="236">
        <v>2.6075022220611572</v>
      </c>
      <c r="D313" s="235">
        <v>2.4945294857025146</v>
      </c>
      <c r="E313" s="239">
        <v>2.4502077102661133</v>
      </c>
      <c r="F313" s="239">
        <v>2.4376335144042969</v>
      </c>
      <c r="G313" s="239">
        <v>2.3919429779052734</v>
      </c>
      <c r="H313" s="239">
        <v>2.34375</v>
      </c>
      <c r="I313" s="239">
        <v>2.3373427391052246</v>
      </c>
      <c r="J313" s="237">
        <v>2.1450076103210449</v>
      </c>
      <c r="K313" s="238"/>
      <c r="L313" s="35" t="s">
        <v>43</v>
      </c>
      <c r="M313" s="47">
        <v>2.0490938213000001</v>
      </c>
      <c r="N313" s="47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35">
        <v>171</v>
      </c>
      <c r="AK313" s="190">
        <v>59.24</v>
      </c>
      <c r="AL313" s="84">
        <v>65.58</v>
      </c>
      <c r="AM313" s="85">
        <v>68.55</v>
      </c>
      <c r="AN313" s="85">
        <v>69.790000000000006</v>
      </c>
      <c r="AO313" s="86">
        <v>70.150000000000006</v>
      </c>
    </row>
    <row r="314" spans="1:41" x14ac:dyDescent="0.3">
      <c r="A314" s="35">
        <v>172</v>
      </c>
      <c r="B314" s="246">
        <v>2.7913014888763428</v>
      </c>
      <c r="C314" s="247">
        <v>2.728426456451416</v>
      </c>
      <c r="D314" s="235">
        <v>2.4833958148956299</v>
      </c>
      <c r="E314" s="239">
        <v>2.4719746112823486</v>
      </c>
      <c r="F314" s="239">
        <v>2.3697988986968994</v>
      </c>
      <c r="G314" s="239">
        <v>2.3155627250671387</v>
      </c>
      <c r="H314" s="239">
        <v>2.313382625579834</v>
      </c>
      <c r="I314" s="239">
        <v>2.3071763515472412</v>
      </c>
      <c r="J314" s="239">
        <v>2.2640516757965088</v>
      </c>
      <c r="K314" s="239">
        <v>2.2610752582550049</v>
      </c>
      <c r="L314" s="35" t="s">
        <v>43</v>
      </c>
      <c r="M314" s="47">
        <v>2.0525116194999997</v>
      </c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v>172</v>
      </c>
      <c r="AK314" s="194">
        <v>61.62</v>
      </c>
      <c r="AL314" s="193">
        <v>63.04</v>
      </c>
      <c r="AM314" s="85">
        <v>69.260000000000005</v>
      </c>
      <c r="AN314" s="85">
        <v>69.58</v>
      </c>
      <c r="AO314" s="86">
        <v>72.58</v>
      </c>
    </row>
    <row r="315" spans="1:41" x14ac:dyDescent="0.3">
      <c r="A315" s="35">
        <v>173</v>
      </c>
      <c r="B315" s="247">
        <v>2.5944809913635254</v>
      </c>
      <c r="C315" s="236">
        <v>2.5682897567749023</v>
      </c>
      <c r="D315" s="247">
        <v>2.5422482490539551</v>
      </c>
      <c r="E315" s="225">
        <v>2.5156319141387939</v>
      </c>
      <c r="F315" s="225">
        <v>2.5101568698883057</v>
      </c>
      <c r="G315" s="239">
        <v>2.4788651466369629</v>
      </c>
      <c r="H315" s="239">
        <v>2.4250071048736572</v>
      </c>
      <c r="I315" s="239">
        <v>2.3489477634429932</v>
      </c>
      <c r="J315" s="239">
        <v>2.3140716552734375</v>
      </c>
      <c r="K315" s="239">
        <v>2.2838284969329834</v>
      </c>
      <c r="L315" s="35" t="s">
        <v>43</v>
      </c>
      <c r="M315" s="47">
        <v>2.0505236592</v>
      </c>
      <c r="N315" s="48"/>
      <c r="O315" s="48"/>
      <c r="P315" s="303" t="s">
        <v>655</v>
      </c>
      <c r="Q315" s="303" t="s">
        <v>657</v>
      </c>
      <c r="R315" s="303" t="s">
        <v>659</v>
      </c>
      <c r="S315" s="303" t="s">
        <v>661</v>
      </c>
      <c r="T315" s="303" t="s">
        <v>663</v>
      </c>
      <c r="U315" s="303" t="s">
        <v>665</v>
      </c>
      <c r="V315" s="48"/>
      <c r="W315" s="48"/>
      <c r="X315" s="48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v>173</v>
      </c>
      <c r="AK315" s="188">
        <v>66.680000000000007</v>
      </c>
      <c r="AL315" s="84">
        <v>67.36</v>
      </c>
      <c r="AM315" s="192">
        <v>68.05</v>
      </c>
      <c r="AN315" s="85">
        <v>68.77</v>
      </c>
      <c r="AO315" s="85">
        <v>68.92</v>
      </c>
    </row>
    <row r="316" spans="1:41" x14ac:dyDescent="0.3">
      <c r="A316" s="35">
        <v>174</v>
      </c>
      <c r="B316" s="247">
        <v>2.6814608573913574</v>
      </c>
      <c r="C316" s="236">
        <v>2.6496117115020752</v>
      </c>
      <c r="D316" s="247">
        <v>2.5958526134490967</v>
      </c>
      <c r="E316" s="225">
        <v>2.5656149387359619</v>
      </c>
      <c r="F316" s="225">
        <v>2.5368130207061768</v>
      </c>
      <c r="G316" s="225">
        <v>2.5243000984191895</v>
      </c>
      <c r="H316" s="225">
        <v>2.5010781288146973</v>
      </c>
      <c r="I316" s="239">
        <v>2.3660593032836914</v>
      </c>
      <c r="J316" s="239">
        <v>2.3538961410522461</v>
      </c>
      <c r="K316" s="239">
        <v>2.3535776138305664</v>
      </c>
      <c r="L316" s="35" t="s">
        <v>43</v>
      </c>
      <c r="M316" s="47">
        <v>2.0432189659</v>
      </c>
      <c r="N316" s="48"/>
      <c r="O316" s="141" t="s">
        <v>685</v>
      </c>
      <c r="P316" s="141"/>
      <c r="Q316" s="141"/>
      <c r="R316" s="141"/>
      <c r="S316" s="141"/>
      <c r="T316" s="141"/>
      <c r="U316" s="141"/>
      <c r="V316" s="141"/>
      <c r="W316" s="141"/>
      <c r="X316" s="141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v>174</v>
      </c>
      <c r="AK316" s="193">
        <v>64.89</v>
      </c>
      <c r="AL316" s="84">
        <v>65.67</v>
      </c>
      <c r="AM316" s="188">
        <v>67.03</v>
      </c>
      <c r="AN316" s="85">
        <v>67.819999999999993</v>
      </c>
      <c r="AO316" s="85">
        <v>68.59</v>
      </c>
    </row>
    <row r="317" spans="1:41" x14ac:dyDescent="0.3">
      <c r="A317" s="35">
        <v>175</v>
      </c>
      <c r="B317" s="247">
        <v>2.6782982349395752</v>
      </c>
      <c r="C317" s="236">
        <v>2.5528810024261475</v>
      </c>
      <c r="D317" s="236">
        <v>2.5281710624694824</v>
      </c>
      <c r="E317" s="225">
        <v>2.5270757675170898</v>
      </c>
      <c r="F317" s="225">
        <v>2.5125627517700195</v>
      </c>
      <c r="G317" s="239">
        <v>2.4292058944702148</v>
      </c>
      <c r="H317" s="239">
        <v>2.4285318851470947</v>
      </c>
      <c r="I317" s="239">
        <v>2.4091410636901855</v>
      </c>
      <c r="J317" s="239">
        <v>2.408477783203125</v>
      </c>
      <c r="K317" s="239">
        <v>2.3825733661651611</v>
      </c>
      <c r="L317" s="35" t="s">
        <v>43</v>
      </c>
      <c r="M317" s="47">
        <v>2.0306344805999998</v>
      </c>
      <c r="N317" s="48"/>
      <c r="O317" s="48" t="s">
        <v>686</v>
      </c>
      <c r="P317" s="48"/>
      <c r="Q317" s="48"/>
      <c r="R317" s="48"/>
      <c r="S317" s="48"/>
      <c r="T317" s="48"/>
      <c r="U317" s="48"/>
      <c r="V317" s="48"/>
      <c r="W317" s="48"/>
      <c r="X317" s="48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v>175</v>
      </c>
      <c r="AK317" s="188">
        <v>65.34</v>
      </c>
      <c r="AL317" s="85">
        <v>68.55</v>
      </c>
      <c r="AM317" s="85">
        <v>69.22</v>
      </c>
      <c r="AN317" s="85">
        <v>69.25</v>
      </c>
      <c r="AO317" s="85">
        <v>69.650000000000006</v>
      </c>
    </row>
    <row r="318" spans="1:41" x14ac:dyDescent="0.3">
      <c r="A318" s="35">
        <v>176</v>
      </c>
      <c r="B318" s="247">
        <v>2.6066350936889648</v>
      </c>
      <c r="C318" s="247">
        <v>2.5840551853179932</v>
      </c>
      <c r="D318" s="247">
        <v>2.5644762516021729</v>
      </c>
      <c r="E318" s="225">
        <v>2.5367541313171387</v>
      </c>
      <c r="F318" s="225">
        <v>2.5150041580200195</v>
      </c>
      <c r="G318" s="239">
        <v>2.4316110610961914</v>
      </c>
      <c r="H318" s="239">
        <v>2.2815659046173096</v>
      </c>
      <c r="I318" s="239">
        <v>2.274195671081543</v>
      </c>
      <c r="J318" s="239">
        <v>2.2512152194976807</v>
      </c>
      <c r="K318" s="237"/>
      <c r="L318" s="35" t="s">
        <v>43</v>
      </c>
      <c r="M318" s="47">
        <v>2.0129155307</v>
      </c>
      <c r="N318" s="48"/>
      <c r="O318" s="48" t="s">
        <v>687</v>
      </c>
      <c r="P318" s="48"/>
      <c r="Q318" s="48"/>
      <c r="R318" s="48"/>
      <c r="S318" s="48"/>
      <c r="T318" s="48"/>
      <c r="U318" s="48"/>
      <c r="V318" s="48"/>
      <c r="W318" s="48"/>
      <c r="X318" s="48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v>176</v>
      </c>
      <c r="AK318" s="192">
        <v>67.52</v>
      </c>
      <c r="AL318" s="192">
        <v>68.11</v>
      </c>
      <c r="AM318" s="192">
        <v>68.63</v>
      </c>
      <c r="AN318" s="85">
        <v>69.38</v>
      </c>
      <c r="AO318" s="85">
        <v>69.98</v>
      </c>
    </row>
    <row r="319" spans="1:41" x14ac:dyDescent="0.3">
      <c r="A319" s="35">
        <v>177</v>
      </c>
      <c r="B319" s="247">
        <v>2.7480204105377197</v>
      </c>
      <c r="C319" s="236">
        <v>2.6994051933288574</v>
      </c>
      <c r="D319" s="247">
        <v>2.6749281883239746</v>
      </c>
      <c r="E319" s="225">
        <v>2.6272821426391602</v>
      </c>
      <c r="F319" s="225">
        <v>2.5926470756530762</v>
      </c>
      <c r="G319" s="225">
        <v>2.5611343383789063</v>
      </c>
      <c r="H319" s="225">
        <v>2.5559566020965576</v>
      </c>
      <c r="I319" s="225">
        <v>2.5358164310455322</v>
      </c>
      <c r="J319" s="225">
        <v>2.5021204948425293</v>
      </c>
      <c r="K319" s="239">
        <v>2.4607257843017578</v>
      </c>
      <c r="L319" s="35" t="s">
        <v>43</v>
      </c>
      <c r="M319" s="47">
        <v>1.9902452380000002</v>
      </c>
      <c r="N319" s="48"/>
      <c r="O319" s="48" t="s">
        <v>688</v>
      </c>
      <c r="P319" s="48"/>
      <c r="Q319" s="48"/>
      <c r="R319" s="48"/>
      <c r="S319" s="48"/>
      <c r="T319" s="48"/>
      <c r="U319" s="48"/>
      <c r="V319" s="48"/>
      <c r="W319" s="48"/>
      <c r="X319" s="48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v>177</v>
      </c>
      <c r="AK319" s="193">
        <v>64.41</v>
      </c>
      <c r="AL319" s="84">
        <v>65.569999999999993</v>
      </c>
      <c r="AM319" s="188">
        <v>66.17</v>
      </c>
      <c r="AN319" s="84">
        <v>67.37</v>
      </c>
      <c r="AO319" s="85">
        <v>68.27</v>
      </c>
    </row>
    <row r="320" spans="1:41" x14ac:dyDescent="0.3">
      <c r="A320" s="35">
        <v>178</v>
      </c>
      <c r="B320" s="223">
        <v>2.8677299022674561</v>
      </c>
      <c r="C320" s="236">
        <v>2.6172621250152588</v>
      </c>
      <c r="D320" s="247">
        <v>2.5996787548065186</v>
      </c>
      <c r="E320" s="225">
        <v>2.5560023784637451</v>
      </c>
      <c r="F320" s="239">
        <v>2.4698209762573242</v>
      </c>
      <c r="G320" s="239">
        <v>2.4283764362335205</v>
      </c>
      <c r="H320" s="239">
        <v>2.4132320880889893</v>
      </c>
      <c r="I320" s="239">
        <v>2.4073572158813477</v>
      </c>
      <c r="J320" s="239">
        <v>2.3104879856109619</v>
      </c>
      <c r="K320" s="239">
        <v>2.3015258312225342</v>
      </c>
      <c r="L320" s="35" t="s">
        <v>43</v>
      </c>
      <c r="M320" s="47">
        <v>1.9628679829</v>
      </c>
      <c r="N320" s="48"/>
      <c r="O320" s="48" t="s">
        <v>689</v>
      </c>
      <c r="P320" s="48"/>
      <c r="Q320" s="48"/>
      <c r="R320" s="48"/>
      <c r="S320" s="48"/>
      <c r="T320" s="48"/>
      <c r="U320" s="48"/>
      <c r="V320" s="48"/>
      <c r="W320" s="48"/>
      <c r="X320" s="48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v>178</v>
      </c>
      <c r="AK320" s="82">
        <v>62.07</v>
      </c>
      <c r="AL320" s="85">
        <v>68.010000000000005</v>
      </c>
      <c r="AM320" s="192">
        <v>68.47</v>
      </c>
      <c r="AN320" s="85">
        <v>69.64</v>
      </c>
      <c r="AO320" s="86">
        <v>72.069999999999993</v>
      </c>
    </row>
    <row r="321" spans="1:41" x14ac:dyDescent="0.3">
      <c r="A321" s="35">
        <v>179</v>
      </c>
      <c r="B321" s="247">
        <v>2.6089491844177246</v>
      </c>
      <c r="C321" s="247">
        <v>2.6002326011657715</v>
      </c>
      <c r="D321" s="236">
        <v>2.5268211364746094</v>
      </c>
      <c r="E321" s="225">
        <v>2.5</v>
      </c>
      <c r="F321" s="239">
        <v>2.476823091506958</v>
      </c>
      <c r="G321" s="239">
        <v>2.4554183483123779</v>
      </c>
      <c r="H321" s="239">
        <v>2.4500410556793213</v>
      </c>
      <c r="I321" s="239">
        <v>2.3249773979187012</v>
      </c>
      <c r="J321" s="239">
        <v>2.284912109375</v>
      </c>
      <c r="K321" s="237">
        <v>2.2283082008361816</v>
      </c>
      <c r="L321" s="35" t="s">
        <v>43</v>
      </c>
      <c r="M321" s="47">
        <v>1.9309115099</v>
      </c>
      <c r="N321" s="48"/>
      <c r="O321" s="120" t="s">
        <v>690</v>
      </c>
      <c r="P321" s="120"/>
      <c r="Q321" s="120"/>
      <c r="R321" s="120"/>
      <c r="S321" s="120"/>
      <c r="T321" s="120"/>
      <c r="U321" s="120"/>
      <c r="V321" s="120"/>
      <c r="W321" s="120"/>
      <c r="X321" s="120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v>179</v>
      </c>
      <c r="AK321" s="192">
        <v>68.61</v>
      </c>
      <c r="AL321" s="192">
        <v>68.84</v>
      </c>
      <c r="AM321" s="86">
        <v>70.84</v>
      </c>
      <c r="AN321" s="86">
        <v>71.599999999999994</v>
      </c>
      <c r="AO321" s="86">
        <v>72.27</v>
      </c>
    </row>
    <row r="322" spans="1:41" x14ac:dyDescent="0.3">
      <c r="A322" s="35">
        <v>180</v>
      </c>
      <c r="B322" s="236">
        <v>2.5495750904083252</v>
      </c>
      <c r="C322" s="236">
        <v>2.5</v>
      </c>
      <c r="D322" s="235">
        <v>2.4509804248809814</v>
      </c>
      <c r="E322" s="239">
        <v>2.4099609851837158</v>
      </c>
      <c r="F322" s="239">
        <v>2.3888521194458008</v>
      </c>
      <c r="G322" s="239">
        <v>2.3443605899810791</v>
      </c>
      <c r="H322" s="239">
        <v>2.3428347110748291</v>
      </c>
      <c r="I322" s="239">
        <v>2.3346304893493652</v>
      </c>
      <c r="J322" s="237">
        <v>2.2091310024261475</v>
      </c>
      <c r="K322" s="237">
        <v>2.150794506072998</v>
      </c>
      <c r="L322" s="35" t="s">
        <v>43</v>
      </c>
      <c r="M322" s="47">
        <v>1.8948010011</v>
      </c>
      <c r="N322" s="48"/>
      <c r="O322" s="48" t="s">
        <v>691</v>
      </c>
      <c r="P322" s="48"/>
      <c r="Q322" s="48"/>
      <c r="R322" s="48"/>
      <c r="S322" s="48"/>
      <c r="T322" s="48"/>
      <c r="U322" s="48"/>
      <c r="V322" s="48"/>
      <c r="W322" s="48"/>
      <c r="X322" s="48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v>180</v>
      </c>
      <c r="AK322" s="86">
        <v>70.599999999999994</v>
      </c>
      <c r="AL322" s="86">
        <v>72</v>
      </c>
      <c r="AM322" s="86">
        <v>73.44</v>
      </c>
      <c r="AN322" s="86">
        <v>74.69</v>
      </c>
      <c r="AO322" s="87">
        <v>75.349999999999994</v>
      </c>
    </row>
    <row r="323" spans="1:41" x14ac:dyDescent="0.3">
      <c r="A323" s="35">
        <v>181</v>
      </c>
      <c r="B323" s="246">
        <v>2.7633588314056396</v>
      </c>
      <c r="C323" s="247">
        <v>2.6308138370513916</v>
      </c>
      <c r="D323" s="236">
        <v>2.5279331207275391</v>
      </c>
      <c r="E323" s="225">
        <v>2.5208911895751953</v>
      </c>
      <c r="F323" s="239">
        <v>2.440997838973999</v>
      </c>
      <c r="G323" s="239">
        <v>2.4021234512329102</v>
      </c>
      <c r="H323" s="239">
        <v>2.3900699615478516</v>
      </c>
      <c r="I323" s="238"/>
      <c r="L323" s="35" t="s">
        <v>43</v>
      </c>
      <c r="M323" s="47">
        <v>1.8547232285999997</v>
      </c>
      <c r="N323" s="48"/>
      <c r="O323" s="48" t="s">
        <v>692</v>
      </c>
      <c r="P323" s="48"/>
      <c r="Q323" s="48"/>
      <c r="R323" s="48"/>
      <c r="S323" s="48"/>
      <c r="T323" s="48"/>
      <c r="U323" s="48"/>
      <c r="V323" s="48"/>
      <c r="W323" s="48"/>
      <c r="X323" s="48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v>181</v>
      </c>
      <c r="AK323" s="188">
        <v>65.5</v>
      </c>
      <c r="AL323" s="192">
        <v>68.8</v>
      </c>
      <c r="AM323" s="86">
        <v>71.599999999999994</v>
      </c>
      <c r="AN323" s="86">
        <v>71.8</v>
      </c>
      <c r="AO323" s="86">
        <v>74.150000000000006</v>
      </c>
    </row>
    <row r="324" spans="1:41" x14ac:dyDescent="0.3">
      <c r="A324" s="35">
        <v>182</v>
      </c>
      <c r="B324" s="247">
        <v>2.6511287689208984</v>
      </c>
      <c r="C324" s="236">
        <v>2.6243691444396973</v>
      </c>
      <c r="D324" s="236">
        <v>2.5918540954589844</v>
      </c>
      <c r="E324" s="225">
        <v>2.5735294818878174</v>
      </c>
      <c r="F324" s="225">
        <v>2.5547447204589844</v>
      </c>
      <c r="G324" s="239">
        <v>2.4403324127197266</v>
      </c>
      <c r="H324" s="239">
        <v>2.4195692539215088</v>
      </c>
      <c r="I324" s="239">
        <v>2.404862642288208</v>
      </c>
      <c r="J324" s="239">
        <v>2.4035921096801758</v>
      </c>
      <c r="K324" s="239">
        <v>2.4004220962524414</v>
      </c>
      <c r="L324" s="35" t="s">
        <v>43</v>
      </c>
      <c r="M324" s="47">
        <v>1.8109697912</v>
      </c>
      <c r="N324" s="48"/>
      <c r="O324" s="48" t="s">
        <v>693</v>
      </c>
      <c r="P324" s="48"/>
      <c r="Q324" s="48"/>
      <c r="R324" s="48"/>
      <c r="S324" s="48"/>
      <c r="T324" s="48"/>
      <c r="U324" s="48"/>
      <c r="V324" s="48"/>
      <c r="W324" s="48"/>
      <c r="X324" s="48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v>182</v>
      </c>
      <c r="AK324" s="192">
        <v>68.650000000000006</v>
      </c>
      <c r="AL324" s="85">
        <v>69.349999999999994</v>
      </c>
      <c r="AM324" s="86">
        <v>70.22</v>
      </c>
      <c r="AN324" s="86">
        <v>70.72</v>
      </c>
      <c r="AO324" s="86">
        <v>71.239999999999995</v>
      </c>
    </row>
    <row r="325" spans="1:41" x14ac:dyDescent="0.3">
      <c r="A325" s="35">
        <v>183</v>
      </c>
      <c r="B325" s="246">
        <v>2.7841167449951172</v>
      </c>
      <c r="C325" s="247">
        <v>2.7139256000518799</v>
      </c>
      <c r="D325" s="247">
        <v>2.6244082450866699</v>
      </c>
      <c r="E325" s="225">
        <v>2.6232798099517822</v>
      </c>
      <c r="F325" s="225">
        <v>2.6120469570159912</v>
      </c>
      <c r="G325" s="225">
        <v>2.5583672523498535</v>
      </c>
      <c r="H325" s="239">
        <v>2.4037830829620361</v>
      </c>
      <c r="I325" s="239">
        <v>2.3612902164459229</v>
      </c>
      <c r="J325" s="238"/>
      <c r="L325" s="35" t="s">
        <v>43</v>
      </c>
      <c r="M325" s="47">
        <v>1.7639506837999999</v>
      </c>
      <c r="N325" s="48"/>
      <c r="O325" s="48" t="s">
        <v>694</v>
      </c>
      <c r="P325" s="48"/>
      <c r="Q325" s="48"/>
      <c r="R325" s="48"/>
      <c r="S325" s="48"/>
      <c r="T325" s="48"/>
      <c r="U325" s="48"/>
      <c r="V325" s="48"/>
      <c r="W325" s="48"/>
      <c r="X325" s="48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v>183</v>
      </c>
      <c r="AK325" s="188">
        <v>65.73</v>
      </c>
      <c r="AL325" s="188">
        <v>67.430000000000007</v>
      </c>
      <c r="AM325" s="192">
        <v>69.73</v>
      </c>
      <c r="AN325" s="85">
        <v>69.760000000000005</v>
      </c>
      <c r="AO325" s="86">
        <v>70.06</v>
      </c>
    </row>
    <row r="326" spans="1:41" x14ac:dyDescent="0.3">
      <c r="A326" s="35">
        <v>184</v>
      </c>
      <c r="B326" s="236">
        <v>2.6892721652984619</v>
      </c>
      <c r="C326" s="247">
        <v>2.6709246635437012</v>
      </c>
      <c r="D326" s="236">
        <v>2.6493880748748779</v>
      </c>
      <c r="E326" s="225">
        <v>2.6406428813934326</v>
      </c>
      <c r="F326" s="225">
        <v>2.5900900363922119</v>
      </c>
      <c r="G326" s="225">
        <v>2.5330395698547363</v>
      </c>
      <c r="H326" s="225">
        <v>2.5278196334838867</v>
      </c>
      <c r="I326" s="225">
        <v>2.5226211547851563</v>
      </c>
      <c r="J326" s="225">
        <v>2.52020263671875</v>
      </c>
      <c r="K326" s="225">
        <v>2.5081787109375</v>
      </c>
      <c r="L326" s="35" t="s">
        <v>43</v>
      </c>
      <c r="M326" s="47">
        <v>1.7139668846</v>
      </c>
      <c r="N326" s="48"/>
      <c r="O326" s="141" t="s">
        <v>695</v>
      </c>
      <c r="P326" s="141"/>
      <c r="Q326" s="141"/>
      <c r="R326" s="141"/>
      <c r="S326" s="141"/>
      <c r="T326" s="141"/>
      <c r="U326" s="141"/>
      <c r="V326" s="141"/>
      <c r="W326" s="141"/>
      <c r="X326" s="141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v>184</v>
      </c>
      <c r="AK326" s="85">
        <v>68.42</v>
      </c>
      <c r="AL326" s="192">
        <v>68.89</v>
      </c>
      <c r="AM326" s="85">
        <v>69.45</v>
      </c>
      <c r="AN326" s="85">
        <v>69.680000000000007</v>
      </c>
      <c r="AO326" s="86">
        <v>71.040000000000006</v>
      </c>
    </row>
    <row r="327" spans="1:41" x14ac:dyDescent="0.3">
      <c r="A327" s="35">
        <v>185</v>
      </c>
      <c r="B327" s="236">
        <v>2.6466379165649414</v>
      </c>
      <c r="C327" s="236">
        <v>2.508474588394165</v>
      </c>
      <c r="D327" s="248">
        <v>2.3480136394500732</v>
      </c>
      <c r="E327" s="239">
        <v>2.2879049777984619</v>
      </c>
      <c r="F327" s="237">
        <v>2.2171618938446045</v>
      </c>
      <c r="G327" s="238"/>
      <c r="H327" s="238"/>
      <c r="L327" s="35" t="s">
        <v>43</v>
      </c>
      <c r="M327" s="47">
        <v>1.6613608790000001</v>
      </c>
      <c r="N327" s="48"/>
      <c r="O327" s="48" t="s">
        <v>696</v>
      </c>
      <c r="P327" s="48"/>
      <c r="Q327" s="48"/>
      <c r="R327" s="48"/>
      <c r="S327" s="48"/>
      <c r="T327" s="48"/>
      <c r="U327" s="48"/>
      <c r="V327" s="48"/>
      <c r="W327" s="48"/>
      <c r="X327" s="48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v>185</v>
      </c>
      <c r="AK327" s="85">
        <v>69.900000000000006</v>
      </c>
      <c r="AL327" s="86">
        <v>73.75</v>
      </c>
      <c r="AM327" s="209">
        <v>78.790000000000006</v>
      </c>
      <c r="AN327" s="88">
        <v>80.86</v>
      </c>
      <c r="AO327" s="88">
        <v>83.44</v>
      </c>
    </row>
    <row r="328" spans="1:41" x14ac:dyDescent="0.3">
      <c r="A328" s="35">
        <v>186</v>
      </c>
      <c r="B328" s="236">
        <v>2.6101598739624023</v>
      </c>
      <c r="C328" s="236">
        <v>2.5489926338195801</v>
      </c>
      <c r="D328" s="236">
        <v>2.5030279159545898</v>
      </c>
      <c r="E328" s="237">
        <v>2.1985816955566406</v>
      </c>
      <c r="F328" s="238"/>
      <c r="G328" s="238"/>
      <c r="L328" s="35" t="s">
        <v>43</v>
      </c>
      <c r="M328" s="47">
        <v>1.6064966242000001</v>
      </c>
      <c r="N328" s="48"/>
      <c r="O328" s="48" t="s">
        <v>697</v>
      </c>
      <c r="P328" s="48"/>
      <c r="Q328" s="48"/>
      <c r="R328" s="48"/>
      <c r="S328" s="48"/>
      <c r="T328" s="48"/>
      <c r="U328" s="48"/>
      <c r="V328" s="48"/>
      <c r="W328" s="48"/>
      <c r="X328" s="48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v>186</v>
      </c>
      <c r="AK328" s="86">
        <v>71.260000000000005</v>
      </c>
      <c r="AL328" s="86">
        <v>72.97</v>
      </c>
      <c r="AM328" s="86">
        <v>74.31</v>
      </c>
      <c r="AN328" s="88">
        <v>84.6</v>
      </c>
    </row>
    <row r="329" spans="1:41" x14ac:dyDescent="0.3">
      <c r="A329" s="35">
        <v>187</v>
      </c>
      <c r="B329" s="247">
        <v>2.6382620334625244</v>
      </c>
      <c r="C329" s="247">
        <v>2.6308383941650391</v>
      </c>
      <c r="D329" s="236">
        <v>2.615384578704834</v>
      </c>
      <c r="E329" s="225">
        <v>2.566565990447998</v>
      </c>
      <c r="F329" s="239">
        <v>2.4317295551300049</v>
      </c>
      <c r="G329" s="239">
        <v>2.4273104667663574</v>
      </c>
      <c r="H329" s="239">
        <v>2.4085524082183838</v>
      </c>
      <c r="I329" s="238"/>
      <c r="J329" s="238"/>
      <c r="L329" s="35" t="s">
        <v>43</v>
      </c>
      <c r="M329" s="47">
        <v>1.5497842169</v>
      </c>
      <c r="N329" s="48"/>
      <c r="O329" s="48" t="s">
        <v>698</v>
      </c>
      <c r="P329" s="48"/>
      <c r="Q329" s="48"/>
      <c r="R329" s="48"/>
      <c r="S329" s="48"/>
      <c r="T329" s="48"/>
      <c r="U329" s="48"/>
      <c r="V329" s="48"/>
      <c r="W329" s="48"/>
      <c r="X329" s="48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v>187</v>
      </c>
      <c r="AK329" s="200">
        <v>70.88</v>
      </c>
      <c r="AL329" s="200">
        <v>71.08</v>
      </c>
      <c r="AM329" s="86">
        <v>71.5</v>
      </c>
      <c r="AN329" s="86">
        <v>72.86</v>
      </c>
      <c r="AO329" s="87">
        <v>76.900000000000006</v>
      </c>
    </row>
    <row r="330" spans="1:41" x14ac:dyDescent="0.3">
      <c r="A330" s="35">
        <v>188</v>
      </c>
      <c r="B330" s="246">
        <v>2.7798316478729248</v>
      </c>
      <c r="C330" s="236">
        <v>2.5916736125946045</v>
      </c>
      <c r="D330" s="235">
        <v>2.317554235458374</v>
      </c>
      <c r="E330" s="239">
        <v>2.2743768692016602</v>
      </c>
      <c r="L330" s="35" t="s">
        <v>43</v>
      </c>
      <c r="M330" s="47">
        <v>1.4914926880000001</v>
      </c>
      <c r="N330" s="48"/>
      <c r="O330" s="48" t="s">
        <v>699</v>
      </c>
      <c r="P330" s="48"/>
      <c r="Q330" s="48"/>
      <c r="R330" s="48"/>
      <c r="S330" s="48"/>
      <c r="T330" s="48"/>
      <c r="U330" s="48"/>
      <c r="V330" s="48"/>
      <c r="W330" s="48"/>
      <c r="X330" s="48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v>188</v>
      </c>
      <c r="AK330" s="192">
        <v>67.63</v>
      </c>
      <c r="AL330" s="86">
        <v>72.540000000000006</v>
      </c>
      <c r="AM330" s="88">
        <v>81.12</v>
      </c>
      <c r="AN330" s="88">
        <v>82.66</v>
      </c>
    </row>
    <row r="331" spans="1:41" x14ac:dyDescent="0.3">
      <c r="A331" s="35">
        <v>189</v>
      </c>
      <c r="B331" s="236">
        <v>2.6448361873626709</v>
      </c>
      <c r="C331" s="235">
        <v>2.4440708160400391</v>
      </c>
      <c r="D331" s="235">
        <v>2.4399690628051758</v>
      </c>
      <c r="E331" s="237">
        <v>2.1533553600311279</v>
      </c>
      <c r="F331" s="238"/>
      <c r="L331" s="35" t="s">
        <v>43</v>
      </c>
      <c r="M331" s="47">
        <v>1.4320145602000001</v>
      </c>
      <c r="N331" s="48"/>
      <c r="O331" s="120" t="s">
        <v>700</v>
      </c>
      <c r="P331" s="120"/>
      <c r="Q331" s="120"/>
      <c r="R331" s="120"/>
      <c r="S331" s="120"/>
      <c r="T331" s="120"/>
      <c r="U331" s="120"/>
      <c r="V331" s="120"/>
      <c r="W331" s="120"/>
      <c r="X331" s="120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v>189</v>
      </c>
      <c r="AK331" s="86">
        <v>71.459999999999994</v>
      </c>
      <c r="AL331" s="87">
        <v>77.33</v>
      </c>
      <c r="AM331" s="87">
        <v>77.459999999999994</v>
      </c>
      <c r="AN331" s="168">
        <v>87.77</v>
      </c>
    </row>
    <row r="332" spans="1:41" x14ac:dyDescent="0.3">
      <c r="A332" s="35">
        <v>190</v>
      </c>
      <c r="B332" s="236">
        <v>2.6221363544464111</v>
      </c>
      <c r="C332" s="236">
        <v>2.610607385635376</v>
      </c>
      <c r="D332" s="236">
        <v>2.5168898105621338</v>
      </c>
      <c r="E332" s="239">
        <v>2.4967148303985596</v>
      </c>
      <c r="F332" s="239">
        <v>2.4865853786468506</v>
      </c>
      <c r="G332" s="239">
        <v>2.4598653316497803</v>
      </c>
      <c r="H332" s="239">
        <v>2.3667166233062744</v>
      </c>
      <c r="I332" s="239">
        <v>2.26055908203125</v>
      </c>
      <c r="J332" s="282"/>
      <c r="L332" s="35" t="s">
        <v>43</v>
      </c>
      <c r="M332" s="47">
        <v>1.3716949988</v>
      </c>
      <c r="N332" s="48"/>
      <c r="O332" s="48" t="s">
        <v>701</v>
      </c>
      <c r="P332" s="48"/>
      <c r="Q332" s="48"/>
      <c r="R332" s="48"/>
      <c r="S332" s="48"/>
      <c r="T332" s="48"/>
      <c r="U332" s="48"/>
      <c r="V332" s="48"/>
      <c r="W332" s="48"/>
      <c r="X332" s="48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v>190</v>
      </c>
      <c r="AK332" s="86">
        <v>72.459999999999994</v>
      </c>
      <c r="AL332" s="86">
        <v>72.78</v>
      </c>
      <c r="AM332" s="87">
        <v>75.489999999999995</v>
      </c>
      <c r="AN332" s="87">
        <v>76.099999999999994</v>
      </c>
      <c r="AO332" s="87">
        <v>76.41</v>
      </c>
    </row>
    <row r="333" spans="1:41" x14ac:dyDescent="0.3">
      <c r="A333" s="35">
        <v>191</v>
      </c>
      <c r="B333" s="236">
        <v>2.6609084606170654</v>
      </c>
      <c r="C333" s="247">
        <v>2.5894792079925537</v>
      </c>
      <c r="D333" s="236">
        <v>2.56307053565979</v>
      </c>
      <c r="E333" s="225">
        <v>2.5510885715484619</v>
      </c>
      <c r="F333" s="239">
        <v>2.4515464305877686</v>
      </c>
      <c r="G333" s="239">
        <v>2.3750312328338623</v>
      </c>
      <c r="H333" s="239">
        <v>2.3375351428985596</v>
      </c>
      <c r="I333" s="239"/>
      <c r="J333" s="238"/>
      <c r="K333" s="238"/>
      <c r="L333" s="35" t="s">
        <v>43</v>
      </c>
      <c r="M333" s="47">
        <v>1.3108691724999999</v>
      </c>
      <c r="N333" s="48"/>
      <c r="O333" s="48" t="s">
        <v>702</v>
      </c>
      <c r="P333" s="48"/>
      <c r="Q333" s="48"/>
      <c r="R333" s="48"/>
      <c r="S333" s="48"/>
      <c r="T333" s="48"/>
      <c r="U333" s="48"/>
      <c r="V333" s="48"/>
      <c r="W333" s="48"/>
      <c r="X333" s="48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v>191</v>
      </c>
      <c r="AK333" s="86">
        <v>71.78</v>
      </c>
      <c r="AL333" s="200">
        <v>73.760000000000005</v>
      </c>
      <c r="AM333" s="86">
        <v>74.52</v>
      </c>
      <c r="AN333" s="86">
        <v>74.87</v>
      </c>
      <c r="AO333" s="87">
        <v>77.91</v>
      </c>
    </row>
    <row r="334" spans="1:41" x14ac:dyDescent="0.3">
      <c r="A334" s="35">
        <v>192</v>
      </c>
      <c r="B334" s="246">
        <v>2.7781796455383301</v>
      </c>
      <c r="C334" s="236">
        <v>2.6648159027099609</v>
      </c>
      <c r="D334" s="247">
        <v>2.6559689044952393</v>
      </c>
      <c r="E334" s="225">
        <v>2.5403544902801514</v>
      </c>
      <c r="F334" s="239">
        <v>2.3877625465393066</v>
      </c>
      <c r="G334" s="239">
        <v>2.3806571960449219</v>
      </c>
      <c r="H334" s="239">
        <v>2.3500611782073975</v>
      </c>
      <c r="I334" s="239">
        <v>2.310469388961792</v>
      </c>
      <c r="J334" s="239">
        <v>2.2876205444335938</v>
      </c>
      <c r="L334" s="35" t="s">
        <v>43</v>
      </c>
      <c r="M334" s="47">
        <v>1.2498135880000001</v>
      </c>
      <c r="N334" s="48"/>
      <c r="O334" s="48" t="s">
        <v>703</v>
      </c>
      <c r="P334" s="48"/>
      <c r="Q334" s="48"/>
      <c r="R334" s="48"/>
      <c r="S334" s="48"/>
      <c r="T334" s="48"/>
      <c r="U334" s="48"/>
      <c r="V334" s="48"/>
      <c r="W334" s="48"/>
      <c r="X334" s="48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v>192</v>
      </c>
      <c r="AK334" s="192">
        <v>69.11</v>
      </c>
      <c r="AL334" s="86">
        <v>72.05</v>
      </c>
      <c r="AM334" s="200">
        <v>72.290000000000006</v>
      </c>
      <c r="AN334" s="87">
        <v>75.58</v>
      </c>
      <c r="AO334" s="88">
        <v>80.41</v>
      </c>
    </row>
    <row r="335" spans="1:41" x14ac:dyDescent="0.3">
      <c r="A335" s="35">
        <v>193</v>
      </c>
      <c r="B335" s="247">
        <v>2.7076318264007568</v>
      </c>
      <c r="C335" s="236">
        <v>2.6720197200775146</v>
      </c>
      <c r="D335" s="236">
        <v>2.5401420593261719</v>
      </c>
      <c r="E335" s="225">
        <v>2.5222165584564209</v>
      </c>
      <c r="F335" s="239">
        <v>2.3467898368835449</v>
      </c>
      <c r="G335" s="237">
        <v>2.2036993503570557</v>
      </c>
      <c r="H335" s="238"/>
      <c r="L335" s="35" t="s">
        <v>43</v>
      </c>
      <c r="M335" s="47">
        <v>1.1888991714999999</v>
      </c>
      <c r="N335" s="48"/>
      <c r="O335" s="48" t="s">
        <v>704</v>
      </c>
      <c r="P335" s="48"/>
      <c r="Q335" s="48"/>
      <c r="R335" s="48"/>
      <c r="S335" s="48"/>
      <c r="T335" s="48"/>
      <c r="U335" s="48"/>
      <c r="V335" s="48"/>
      <c r="W335" s="48"/>
      <c r="X335" s="48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v>193</v>
      </c>
      <c r="AK335" s="200">
        <v>71.28</v>
      </c>
      <c r="AL335" s="86">
        <v>72.23</v>
      </c>
      <c r="AM335" s="87">
        <v>75.98</v>
      </c>
      <c r="AN335" s="87">
        <v>76.52</v>
      </c>
      <c r="AO335" s="88">
        <v>82.24</v>
      </c>
    </row>
    <row r="336" spans="1:41" x14ac:dyDescent="0.3">
      <c r="A336" s="35">
        <v>194</v>
      </c>
      <c r="B336" s="246">
        <v>2.7841560840606689</v>
      </c>
      <c r="C336" s="236">
        <v>2.6082282066345215</v>
      </c>
      <c r="D336" s="235">
        <v>2.4843130111694336</v>
      </c>
      <c r="E336" s="239">
        <v>2.2735261917114258</v>
      </c>
      <c r="F336" s="237"/>
      <c r="G336" s="238"/>
      <c r="L336" s="35" t="s">
        <v>43</v>
      </c>
      <c r="M336" s="47">
        <v>1.1283479332999999</v>
      </c>
      <c r="N336" s="48"/>
      <c r="O336" s="141" t="s">
        <v>705</v>
      </c>
      <c r="P336" s="141"/>
      <c r="Q336" s="141"/>
      <c r="R336" s="141"/>
      <c r="S336" s="141"/>
      <c r="T336" s="141"/>
      <c r="U336" s="141"/>
      <c r="V336" s="141"/>
      <c r="W336" s="141"/>
      <c r="X336" s="141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v>194</v>
      </c>
      <c r="AK336" s="192">
        <v>69.680000000000007</v>
      </c>
      <c r="AL336" s="86">
        <v>74.38</v>
      </c>
      <c r="AM336" s="87">
        <v>78.09</v>
      </c>
      <c r="AN336" s="168">
        <v>85.33</v>
      </c>
    </row>
    <row r="337" spans="1:41" x14ac:dyDescent="0.3">
      <c r="A337" s="35">
        <v>195</v>
      </c>
      <c r="B337" s="247">
        <v>2.6333556175231934</v>
      </c>
      <c r="C337" s="236">
        <v>2.5570416450500488</v>
      </c>
      <c r="D337" s="236">
        <v>2.5268888473510742</v>
      </c>
      <c r="E337" s="239">
        <v>2.4910578727722168</v>
      </c>
      <c r="F337" s="239">
        <v>2.4664812088012695</v>
      </c>
      <c r="G337" s="239">
        <v>2.4020695686340332</v>
      </c>
      <c r="H337" s="239">
        <v>2.3917577266693115</v>
      </c>
      <c r="I337" s="238"/>
      <c r="L337" s="35" t="s">
        <v>43</v>
      </c>
      <c r="M337" s="47">
        <v>1.0684761167000001</v>
      </c>
      <c r="N337" s="48"/>
      <c r="O337" s="48" t="s">
        <v>706</v>
      </c>
      <c r="P337" s="48"/>
      <c r="Q337" s="48"/>
      <c r="R337" s="48"/>
      <c r="S337" s="48"/>
      <c r="T337" s="48"/>
      <c r="U337" s="48"/>
      <c r="V337" s="48"/>
      <c r="W337" s="48"/>
      <c r="X337" s="48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v>195</v>
      </c>
      <c r="AK337" s="200">
        <v>74.05</v>
      </c>
      <c r="AL337" s="87">
        <v>76.260000000000005</v>
      </c>
      <c r="AM337" s="87">
        <v>77.17</v>
      </c>
      <c r="AN337" s="87">
        <v>78.28</v>
      </c>
      <c r="AO337" s="87">
        <v>79.06</v>
      </c>
    </row>
    <row r="338" spans="1:41" x14ac:dyDescent="0.3">
      <c r="A338" s="35">
        <v>196</v>
      </c>
      <c r="B338" s="246">
        <v>2.9253730773925781</v>
      </c>
      <c r="C338" s="223">
        <v>2.8500800132751465</v>
      </c>
      <c r="D338" s="236">
        <v>2.6982378959655762</v>
      </c>
      <c r="E338" s="225">
        <v>2.6670296192169189</v>
      </c>
      <c r="F338" s="225">
        <v>2.6005041599273682</v>
      </c>
      <c r="L338" s="35" t="s">
        <v>43</v>
      </c>
      <c r="M338" s="47">
        <v>1.0094932395</v>
      </c>
      <c r="N338" s="48"/>
      <c r="O338" s="48" t="s">
        <v>707</v>
      </c>
      <c r="P338" s="48"/>
      <c r="Q338" s="48"/>
      <c r="R338" s="48"/>
      <c r="S338" s="48"/>
      <c r="T338" s="48"/>
      <c r="U338" s="48"/>
      <c r="V338" s="48"/>
      <c r="W338" s="48"/>
      <c r="X338" s="48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v>196</v>
      </c>
      <c r="AK338" s="188">
        <v>67</v>
      </c>
      <c r="AL338" s="85">
        <v>68.77</v>
      </c>
      <c r="AM338" s="86">
        <v>72.64</v>
      </c>
      <c r="AN338" s="86">
        <v>73.489999999999995</v>
      </c>
      <c r="AO338" s="87">
        <v>75.37</v>
      </c>
    </row>
    <row r="339" spans="1:41" x14ac:dyDescent="0.3">
      <c r="A339" s="35">
        <v>197</v>
      </c>
      <c r="B339" s="236">
        <v>2.7172412872314453</v>
      </c>
      <c r="C339" s="247">
        <v>2.6407506465911865</v>
      </c>
      <c r="D339" s="235">
        <v>2.4801712036132813</v>
      </c>
      <c r="E339" s="239">
        <v>2.4730100631713867</v>
      </c>
      <c r="F339" s="239">
        <v>2.4665079116821289</v>
      </c>
      <c r="G339" s="239">
        <v>2.3438429832458496</v>
      </c>
      <c r="H339" s="237"/>
      <c r="L339" s="16" t="s">
        <v>15</v>
      </c>
      <c r="M339" s="47">
        <v>0.95160210820000002</v>
      </c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v>197</v>
      </c>
      <c r="AK339" s="86">
        <v>72.5</v>
      </c>
      <c r="AL339" s="200">
        <v>74.599999999999994</v>
      </c>
      <c r="AM339" s="87">
        <v>79.430000000000007</v>
      </c>
      <c r="AN339" s="87">
        <v>79.66</v>
      </c>
      <c r="AO339" s="87">
        <v>79.87</v>
      </c>
    </row>
    <row r="340" spans="1:41" x14ac:dyDescent="0.3">
      <c r="A340" s="35">
        <v>198</v>
      </c>
      <c r="B340" s="247">
        <v>2.6949775218963623</v>
      </c>
      <c r="C340" s="236">
        <v>2.6107597351074219</v>
      </c>
      <c r="D340" s="235">
        <v>2.3930385112762451</v>
      </c>
      <c r="E340" s="238"/>
      <c r="F340" s="284"/>
      <c r="L340" s="16" t="s">
        <v>15</v>
      </c>
      <c r="M340" s="47">
        <v>0.89504552749999999</v>
      </c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v>198</v>
      </c>
      <c r="AK340" s="200">
        <v>73.47</v>
      </c>
      <c r="AL340" s="87">
        <v>75.84</v>
      </c>
      <c r="AM340" s="88">
        <v>82.74</v>
      </c>
    </row>
    <row r="341" spans="1:41" x14ac:dyDescent="0.3">
      <c r="A341" s="35">
        <v>199</v>
      </c>
      <c r="B341" s="223">
        <v>2.9808268547058105</v>
      </c>
      <c r="C341" s="236">
        <v>2.586094856262207</v>
      </c>
      <c r="D341" s="236">
        <v>2.5664172172546387</v>
      </c>
      <c r="E341" s="239">
        <v>2.4294955730438232</v>
      </c>
      <c r="F341" s="239">
        <v>2.3620178699493408</v>
      </c>
      <c r="G341" s="238"/>
      <c r="L341" s="16" t="s">
        <v>15</v>
      </c>
      <c r="M341" s="47">
        <v>0.83999059449999991</v>
      </c>
      <c r="N341" s="48"/>
      <c r="O341" s="120"/>
      <c r="P341" s="120"/>
      <c r="Q341" s="120"/>
      <c r="R341" s="120"/>
      <c r="S341" s="120"/>
      <c r="T341" s="120"/>
      <c r="U341" s="120"/>
      <c r="V341" s="120"/>
      <c r="W341" s="120"/>
      <c r="X341" s="120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v>199</v>
      </c>
      <c r="AK341" s="84">
        <v>66.760000000000005</v>
      </c>
      <c r="AL341" s="87">
        <v>76.95</v>
      </c>
      <c r="AM341" s="87">
        <v>77.540000000000006</v>
      </c>
      <c r="AN341" s="88">
        <v>81.91</v>
      </c>
      <c r="AO341" s="88">
        <v>84.25</v>
      </c>
    </row>
    <row r="342" spans="1:41" x14ac:dyDescent="0.3">
      <c r="A342" s="35">
        <v>200</v>
      </c>
      <c r="B342" s="236">
        <v>2.6954178810119629</v>
      </c>
      <c r="C342" s="235">
        <v>2.4884905815124512</v>
      </c>
      <c r="D342" s="240">
        <v>1.9997999668121338</v>
      </c>
      <c r="L342" s="16" t="s">
        <v>15</v>
      </c>
      <c r="M342" s="47">
        <v>0.78659324480000004</v>
      </c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v>200</v>
      </c>
      <c r="AK342" s="86">
        <v>74.2</v>
      </c>
      <c r="AL342" s="88">
        <v>80.37</v>
      </c>
      <c r="AM342" s="12">
        <v>100.01</v>
      </c>
    </row>
    <row r="343" spans="1:41" x14ac:dyDescent="0.3">
      <c r="A343" s="35">
        <v>201</v>
      </c>
      <c r="B343" s="236">
        <v>2.6333026885986328</v>
      </c>
      <c r="C343" s="235">
        <v>2.4975147247314453</v>
      </c>
      <c r="D343" s="234">
        <v>2.2246818542480469</v>
      </c>
      <c r="L343" s="16" t="s">
        <v>15</v>
      </c>
      <c r="M343" s="47">
        <v>0.73494625330000007</v>
      </c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v>201</v>
      </c>
      <c r="AK343" s="87">
        <v>76.33</v>
      </c>
      <c r="AL343" s="88">
        <v>80.48</v>
      </c>
      <c r="AM343" s="12">
        <v>90.35</v>
      </c>
    </row>
    <row r="344" spans="1:41" x14ac:dyDescent="0.3">
      <c r="A344" s="35">
        <v>202</v>
      </c>
      <c r="B344" s="236">
        <v>2.686884880065918</v>
      </c>
      <c r="C344" s="236">
        <v>2.6247401237487793</v>
      </c>
      <c r="D344" s="247">
        <v>2.5781748294830322</v>
      </c>
      <c r="E344" s="225">
        <v>2.5399219989776611</v>
      </c>
      <c r="F344" s="239">
        <v>2.393648624420166</v>
      </c>
      <c r="L344" s="16" t="s">
        <v>15</v>
      </c>
      <c r="M344" s="47">
        <v>0.68520959729999997</v>
      </c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v>202</v>
      </c>
      <c r="AK344" s="87">
        <v>75.180000000000007</v>
      </c>
      <c r="AL344" s="87">
        <v>76.959999999999994</v>
      </c>
      <c r="AM344" s="209">
        <v>78.349999999999994</v>
      </c>
      <c r="AN344" s="87">
        <v>79.53</v>
      </c>
      <c r="AO344" s="88">
        <v>84.39</v>
      </c>
    </row>
    <row r="345" spans="1:41" x14ac:dyDescent="0.3">
      <c r="A345" s="35">
        <v>203</v>
      </c>
      <c r="B345" s="235">
        <v>2.3921754360198975</v>
      </c>
      <c r="C345" s="235">
        <v>2.281667947769165</v>
      </c>
      <c r="D345" s="235"/>
      <c r="E345" s="238"/>
      <c r="L345" s="16" t="s">
        <v>15</v>
      </c>
      <c r="M345" s="47">
        <v>0.63745645960000008</v>
      </c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v>203</v>
      </c>
      <c r="AK345" s="88">
        <v>84.86</v>
      </c>
      <c r="AL345" s="168">
        <v>88.97</v>
      </c>
      <c r="AM345" s="168"/>
    </row>
    <row r="346" spans="1:41" x14ac:dyDescent="0.3">
      <c r="A346" s="35">
        <v>204</v>
      </c>
      <c r="B346" s="246">
        <v>2.7530364990234375</v>
      </c>
      <c r="C346" s="236">
        <v>2.6842105388641357</v>
      </c>
      <c r="D346" s="247">
        <v>2.6538310050964355</v>
      </c>
      <c r="E346" s="239">
        <v>2.4856829643249512</v>
      </c>
      <c r="F346" s="239">
        <v>2.4715290069580078</v>
      </c>
      <c r="L346" s="16" t="s">
        <v>15</v>
      </c>
      <c r="M346" s="47">
        <v>0.59176773690000006</v>
      </c>
      <c r="N346" s="48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>
        <v>204</v>
      </c>
      <c r="AK346" s="200">
        <v>74.099999999999994</v>
      </c>
      <c r="AL346" s="87">
        <v>76</v>
      </c>
      <c r="AM346" s="209">
        <v>76.87</v>
      </c>
      <c r="AN346" s="88">
        <v>82.07</v>
      </c>
      <c r="AO346" s="88">
        <v>82.54</v>
      </c>
    </row>
    <row r="347" spans="1:41" x14ac:dyDescent="0.3">
      <c r="A347" s="35">
        <v>205</v>
      </c>
      <c r="B347" s="236">
        <v>2.7271518707275391</v>
      </c>
      <c r="C347" s="236">
        <v>2.5456352233886719</v>
      </c>
      <c r="D347" s="236">
        <v>2.510716438293457</v>
      </c>
      <c r="E347" s="239">
        <v>2.4848484992980957</v>
      </c>
      <c r="L347" s="16" t="s">
        <v>15</v>
      </c>
      <c r="M347" s="47">
        <v>0.54816684920000003</v>
      </c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>
        <v>205</v>
      </c>
      <c r="AK347" s="87">
        <v>75.17</v>
      </c>
      <c r="AL347" s="88">
        <v>80.53</v>
      </c>
      <c r="AM347" s="88">
        <v>81.650000000000006</v>
      </c>
      <c r="AN347" s="88">
        <v>82.5</v>
      </c>
    </row>
    <row r="348" spans="1:41" x14ac:dyDescent="0.3">
      <c r="A348" s="35">
        <v>206</v>
      </c>
      <c r="B348" s="236">
        <v>2.716961145401001</v>
      </c>
      <c r="C348" s="247">
        <v>2.6542971134185791</v>
      </c>
      <c r="D348" s="236">
        <v>2.5951123237609863</v>
      </c>
      <c r="E348" s="225">
        <v>2.5082187652587891</v>
      </c>
      <c r="L348" s="16" t="s">
        <v>15</v>
      </c>
      <c r="M348" s="47">
        <v>0.50668271799999998</v>
      </c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>
        <v>206</v>
      </c>
      <c r="AK348" s="87">
        <v>75.819999999999993</v>
      </c>
      <c r="AL348" s="209">
        <v>77.61</v>
      </c>
      <c r="AM348" s="87">
        <v>79.38</v>
      </c>
      <c r="AN348" s="88">
        <v>82.13</v>
      </c>
    </row>
    <row r="349" spans="1:41" x14ac:dyDescent="0.3">
      <c r="A349" s="35">
        <v>207</v>
      </c>
      <c r="B349" s="223">
        <v>2.8197791576385498</v>
      </c>
      <c r="C349" s="247">
        <v>2.698826789855957</v>
      </c>
      <c r="D349" s="236">
        <v>2.6235740184783936</v>
      </c>
      <c r="E349" s="237"/>
      <c r="L349" s="16" t="s">
        <v>15</v>
      </c>
      <c r="M349" s="47">
        <v>0.46734172959999998</v>
      </c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>
        <v>207</v>
      </c>
      <c r="AK349" s="86">
        <v>73.41</v>
      </c>
      <c r="AL349" s="209">
        <v>76.7</v>
      </c>
      <c r="AM349" s="87">
        <v>78.900000000000006</v>
      </c>
    </row>
    <row r="350" spans="1:41" x14ac:dyDescent="0.3">
      <c r="A350" s="35">
        <v>208</v>
      </c>
      <c r="B350" s="236">
        <v>2.7065713405609131</v>
      </c>
      <c r="C350" s="236">
        <v>2.5154190063476563</v>
      </c>
      <c r="D350" s="236"/>
      <c r="L350" s="16" t="s">
        <v>15</v>
      </c>
      <c r="M350" s="47">
        <v>0.43016345100000003</v>
      </c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>
        <v>208</v>
      </c>
      <c r="AK350" s="87">
        <v>76.849999999999994</v>
      </c>
      <c r="AL350" s="88">
        <v>82.69</v>
      </c>
      <c r="AM350" s="88"/>
    </row>
    <row r="351" spans="1:41" x14ac:dyDescent="0.3">
      <c r="A351" s="35">
        <v>209</v>
      </c>
      <c r="B351" s="236">
        <v>2.6118471622467041</v>
      </c>
      <c r="C351" s="236">
        <v>2.5211098194122314</v>
      </c>
      <c r="D351" s="240"/>
      <c r="L351" s="16" t="s">
        <v>15</v>
      </c>
      <c r="M351" s="47">
        <v>0.3950948843</v>
      </c>
      <c r="N351" s="48"/>
      <c r="O351" s="120"/>
      <c r="P351" s="120"/>
      <c r="Q351" s="120"/>
      <c r="R351" s="120"/>
      <c r="S351" s="120"/>
      <c r="T351" s="120"/>
      <c r="U351" s="120"/>
      <c r="V351" s="120"/>
      <c r="W351" s="120"/>
      <c r="X351" s="120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>
        <v>209</v>
      </c>
      <c r="AK351" s="88">
        <v>80.02</v>
      </c>
      <c r="AL351" s="88">
        <v>82.9</v>
      </c>
    </row>
    <row r="352" spans="1:41" x14ac:dyDescent="0.3">
      <c r="A352" s="35">
        <v>210</v>
      </c>
      <c r="B352" s="236">
        <v>2.6772053241729736</v>
      </c>
      <c r="C352" s="236">
        <v>2.6649744510650635</v>
      </c>
      <c r="D352" s="236">
        <v>2.6325688362121582</v>
      </c>
      <c r="E352" s="225">
        <v>2.5935530662536621</v>
      </c>
      <c r="F352" s="239">
        <v>2.4257826805114746</v>
      </c>
      <c r="L352" s="16" t="s">
        <v>15</v>
      </c>
      <c r="M352" s="47">
        <v>0.36213502009999998</v>
      </c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>
        <v>210</v>
      </c>
      <c r="AK352" s="87">
        <v>78.44</v>
      </c>
      <c r="AL352" s="87">
        <v>78.8</v>
      </c>
      <c r="AM352" s="87">
        <v>79.77</v>
      </c>
      <c r="AN352" s="88">
        <v>80.97</v>
      </c>
      <c r="AO352" s="168">
        <v>86.57</v>
      </c>
    </row>
    <row r="353" spans="1:38" x14ac:dyDescent="0.3">
      <c r="A353" s="35">
        <v>211</v>
      </c>
      <c r="B353" s="236">
        <v>2.6497552394866943</v>
      </c>
      <c r="C353" s="240"/>
      <c r="L353" s="16" t="s">
        <v>15</v>
      </c>
      <c r="M353" s="47">
        <v>0.33123274699999999</v>
      </c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>
        <v>211</v>
      </c>
      <c r="AK353" s="87">
        <v>79.63</v>
      </c>
    </row>
    <row r="354" spans="1:38" x14ac:dyDescent="0.3">
      <c r="A354" s="35">
        <v>212</v>
      </c>
      <c r="L354" s="16" t="s">
        <v>15</v>
      </c>
      <c r="M354" s="47">
        <v>0.30233651340000001</v>
      </c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>
        <v>212</v>
      </c>
    </row>
    <row r="355" spans="1:38" x14ac:dyDescent="0.3">
      <c r="A355" s="35">
        <v>213</v>
      </c>
      <c r="L355" s="16" t="s">
        <v>15</v>
      </c>
      <c r="M355" s="47">
        <v>0.27538589159999999</v>
      </c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>
        <v>213</v>
      </c>
    </row>
    <row r="356" spans="1:38" x14ac:dyDescent="0.3">
      <c r="A356" s="35">
        <v>214</v>
      </c>
      <c r="B356" s="235">
        <v>2.324570894241333</v>
      </c>
      <c r="L356" s="16" t="s">
        <v>15</v>
      </c>
      <c r="M356" s="47">
        <v>0.25032490209999997</v>
      </c>
      <c r="N356" s="48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>
        <v>214</v>
      </c>
      <c r="AK356" s="12">
        <v>92.06</v>
      </c>
    </row>
    <row r="357" spans="1:38" x14ac:dyDescent="0.3">
      <c r="A357" s="35">
        <v>215</v>
      </c>
      <c r="L357" s="16" t="s">
        <v>15</v>
      </c>
      <c r="M357" s="47">
        <v>0.22708335830000001</v>
      </c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>
        <v>215</v>
      </c>
    </row>
    <row r="358" spans="1:38" x14ac:dyDescent="0.3">
      <c r="A358" s="35">
        <v>216</v>
      </c>
      <c r="L358" s="16" t="s">
        <v>15</v>
      </c>
      <c r="M358" s="47">
        <v>0.20558679190000001</v>
      </c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>
        <v>216</v>
      </c>
    </row>
    <row r="359" spans="1:38" x14ac:dyDescent="0.3">
      <c r="A359" s="35">
        <v>217</v>
      </c>
      <c r="B359" s="247">
        <v>2.7461402416229248</v>
      </c>
      <c r="C359" s="236">
        <v>2.5072212219238281</v>
      </c>
      <c r="L359" s="16" t="s">
        <v>15</v>
      </c>
      <c r="M359" s="47">
        <v>0.18574041599999999</v>
      </c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>
        <v>217</v>
      </c>
      <c r="AK359" s="209">
        <v>79.02</v>
      </c>
      <c r="AL359" s="168">
        <v>86.55</v>
      </c>
    </row>
    <row r="360" spans="1:38" x14ac:dyDescent="0.3">
      <c r="A360" s="35">
        <v>218</v>
      </c>
      <c r="L360" s="16" t="s">
        <v>15</v>
      </c>
      <c r="M360" s="47">
        <v>0.16747503280000001</v>
      </c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>
        <v>218</v>
      </c>
    </row>
    <row r="361" spans="1:38" x14ac:dyDescent="0.3">
      <c r="A361" s="35">
        <v>219</v>
      </c>
      <c r="B361" s="240"/>
      <c r="L361" s="16" t="s">
        <v>15</v>
      </c>
      <c r="M361" s="47">
        <v>0.15070191220000001</v>
      </c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>
        <v>219</v>
      </c>
    </row>
    <row r="362" spans="1:38" x14ac:dyDescent="0.3">
      <c r="A362" s="35">
        <v>220</v>
      </c>
      <c r="B362" s="246">
        <v>2.8032617568969727</v>
      </c>
      <c r="C362" s="234"/>
      <c r="L362" s="16" t="s">
        <v>15</v>
      </c>
      <c r="M362" s="47">
        <v>0.13533358809999999</v>
      </c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>
        <v>220</v>
      </c>
      <c r="AK362" s="209">
        <v>78.48</v>
      </c>
    </row>
    <row r="363" spans="1:38" x14ac:dyDescent="0.3">
      <c r="A363" s="35">
        <v>221</v>
      </c>
      <c r="B363" s="223">
        <v>2.8358783721923828</v>
      </c>
      <c r="C363" s="240"/>
      <c r="L363" s="16" t="s">
        <v>15</v>
      </c>
      <c r="M363" s="47">
        <v>0.12129321770000001</v>
      </c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>
        <v>221</v>
      </c>
      <c r="AK363" s="87">
        <v>77.930000000000007</v>
      </c>
    </row>
    <row r="364" spans="1:38" x14ac:dyDescent="0.3">
      <c r="A364" s="35">
        <v>222</v>
      </c>
      <c r="L364" s="16" t="s">
        <v>15</v>
      </c>
      <c r="M364" s="47">
        <v>0.10849936139999999</v>
      </c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>
        <v>222</v>
      </c>
    </row>
    <row r="365" spans="1:38" x14ac:dyDescent="0.3">
      <c r="A365" s="35">
        <v>223</v>
      </c>
      <c r="B365" s="236">
        <v>2.6130771636962891</v>
      </c>
      <c r="L365" s="15" t="s">
        <v>18</v>
      </c>
      <c r="M365" s="47">
        <v>9.6856215799999992E-2</v>
      </c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>
        <v>223</v>
      </c>
      <c r="AK365" s="168">
        <v>85.34</v>
      </c>
    </row>
    <row r="366" spans="1:38" x14ac:dyDescent="0.3">
      <c r="A366" s="35">
        <v>224</v>
      </c>
      <c r="B366" s="246">
        <v>2.8466131687164307</v>
      </c>
      <c r="L366" s="15" t="s">
        <v>18</v>
      </c>
      <c r="M366" s="47">
        <v>8.6293904800000001E-2</v>
      </c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>
        <v>224</v>
      </c>
      <c r="AK366" s="209">
        <v>78.69</v>
      </c>
    </row>
    <row r="367" spans="1:38" x14ac:dyDescent="0.3">
      <c r="A367" s="35">
        <v>225</v>
      </c>
      <c r="B367" s="240"/>
      <c r="L367" s="15" t="s">
        <v>18</v>
      </c>
      <c r="M367" s="47">
        <v>7.6728563700000002E-2</v>
      </c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>
        <v>225</v>
      </c>
    </row>
    <row r="368" spans="1:38" x14ac:dyDescent="0.3">
      <c r="A368" s="35">
        <v>226</v>
      </c>
      <c r="L368" s="15" t="s">
        <v>18</v>
      </c>
      <c r="M368" s="47">
        <v>6.8100449800000004E-2</v>
      </c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>
        <v>226</v>
      </c>
    </row>
    <row r="369" spans="1:37" x14ac:dyDescent="0.3">
      <c r="A369" s="35">
        <v>227</v>
      </c>
      <c r="L369" s="15" t="s">
        <v>18</v>
      </c>
      <c r="M369" s="47">
        <v>6.0318427799999998E-2</v>
      </c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>
        <v>227</v>
      </c>
    </row>
    <row r="370" spans="1:37" x14ac:dyDescent="0.3">
      <c r="A370" s="35">
        <v>228</v>
      </c>
      <c r="L370" s="15" t="s">
        <v>18</v>
      </c>
      <c r="M370" s="47">
        <v>5.3320116399999999E-2</v>
      </c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>
        <v>228</v>
      </c>
    </row>
    <row r="371" spans="1:37" x14ac:dyDescent="0.3">
      <c r="A371" s="35">
        <v>229</v>
      </c>
      <c r="L371" s="15" t="s">
        <v>18</v>
      </c>
      <c r="M371" s="47">
        <v>4.7045345500000002E-2</v>
      </c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>
        <v>229</v>
      </c>
    </row>
    <row r="372" spans="1:37" x14ac:dyDescent="0.3">
      <c r="A372" s="35">
        <v>230</v>
      </c>
      <c r="B372" s="236">
        <v>2.6050515174865723</v>
      </c>
      <c r="L372" s="15" t="s">
        <v>18</v>
      </c>
      <c r="M372" s="47">
        <v>4.1428479600000005E-2</v>
      </c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>
        <v>230</v>
      </c>
      <c r="AK372" s="168">
        <v>88.29</v>
      </c>
    </row>
    <row r="373" spans="1:37" x14ac:dyDescent="0.3">
      <c r="A373" s="35">
        <v>231</v>
      </c>
      <c r="L373" s="15" t="s">
        <v>18</v>
      </c>
      <c r="M373" s="47">
        <v>3.6413191099999999E-2</v>
      </c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>
        <v>231</v>
      </c>
    </row>
    <row r="374" spans="1:37" x14ac:dyDescent="0.3">
      <c r="A374" s="35">
        <v>232</v>
      </c>
      <c r="L374" s="15" t="s">
        <v>18</v>
      </c>
      <c r="M374" s="47">
        <v>3.1943263299999997E-2</v>
      </c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>
        <v>232</v>
      </c>
    </row>
    <row r="375" spans="1:37" x14ac:dyDescent="0.3">
      <c r="A375" s="35">
        <v>233</v>
      </c>
      <c r="B375" s="223">
        <v>2.9326622486114502</v>
      </c>
      <c r="L375" s="15" t="s">
        <v>18</v>
      </c>
      <c r="M375" s="47">
        <v>2.7967398899999999E-2</v>
      </c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>
        <v>233</v>
      </c>
      <c r="AK375" s="87">
        <v>79.45</v>
      </c>
    </row>
    <row r="376" spans="1:37" x14ac:dyDescent="0.3">
      <c r="A376" s="35">
        <v>234</v>
      </c>
      <c r="L376" s="15" t="s">
        <v>18</v>
      </c>
      <c r="M376" s="47">
        <v>2.4439994499999999E-2</v>
      </c>
      <c r="N376" s="35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>
        <v>234</v>
      </c>
    </row>
    <row r="377" spans="1:37" x14ac:dyDescent="0.3">
      <c r="A377" s="35">
        <v>235</v>
      </c>
      <c r="L377" s="15" t="s">
        <v>18</v>
      </c>
      <c r="M377" s="47">
        <v>2.1319996500000001E-2</v>
      </c>
      <c r="N377" s="35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>
        <v>235</v>
      </c>
    </row>
    <row r="378" spans="1:37" x14ac:dyDescent="0.3">
      <c r="A378" s="35">
        <v>236</v>
      </c>
      <c r="L378" s="15" t="s">
        <v>18</v>
      </c>
      <c r="M378" s="47">
        <v>1.8556763E-2</v>
      </c>
      <c r="N378" s="35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>
        <v>236</v>
      </c>
    </row>
    <row r="379" spans="1:37" x14ac:dyDescent="0.3">
      <c r="A379" s="35">
        <v>237</v>
      </c>
      <c r="L379" s="15" t="s">
        <v>18</v>
      </c>
      <c r="M379" s="47">
        <v>1.6128013E-2</v>
      </c>
      <c r="N379" s="35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>
        <v>237</v>
      </c>
    </row>
    <row r="380" spans="1:37" x14ac:dyDescent="0.3">
      <c r="A380" s="35">
        <v>238</v>
      </c>
      <c r="L380" s="15" t="s">
        <v>18</v>
      </c>
      <c r="M380" s="47">
        <v>1.3986815200000001E-2</v>
      </c>
      <c r="N380" s="35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>
        <v>238</v>
      </c>
    </row>
    <row r="381" spans="1:37" x14ac:dyDescent="0.3">
      <c r="A381" s="35">
        <v>239</v>
      </c>
      <c r="L381" s="15" t="s">
        <v>18</v>
      </c>
      <c r="M381" s="47">
        <v>1.2108138100000001E-2</v>
      </c>
      <c r="N381" s="35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>
        <v>239</v>
      </c>
    </row>
    <row r="382" spans="1:37" x14ac:dyDescent="0.3">
      <c r="A382" s="35">
        <v>240</v>
      </c>
      <c r="L382" s="15" t="s">
        <v>18</v>
      </c>
      <c r="M382" s="47">
        <v>1.0463415699999999E-2</v>
      </c>
      <c r="N382" s="35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>
        <v>240</v>
      </c>
    </row>
    <row r="383" spans="1:37" x14ac:dyDescent="0.3">
      <c r="A383" s="35">
        <v>241</v>
      </c>
      <c r="L383" s="14" t="s">
        <v>17</v>
      </c>
      <c r="M383" s="47">
        <v>9.0229765999999996E-3</v>
      </c>
      <c r="N383" s="35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>
        <v>241</v>
      </c>
    </row>
    <row r="384" spans="1:37" x14ac:dyDescent="0.3">
      <c r="A384" s="35">
        <v>242</v>
      </c>
      <c r="L384" s="14" t="s">
        <v>17</v>
      </c>
      <c r="M384" s="47">
        <v>7.7667365000000004E-3</v>
      </c>
      <c r="N384" s="35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>
        <v>242</v>
      </c>
    </row>
    <row r="385" spans="1:36" x14ac:dyDescent="0.3">
      <c r="A385" s="35">
        <v>243</v>
      </c>
      <c r="L385" s="14" t="s">
        <v>17</v>
      </c>
      <c r="M385" s="47">
        <v>6.6729637999999999E-3</v>
      </c>
      <c r="N385" s="35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>
        <v>243</v>
      </c>
    </row>
    <row r="386" spans="1:36" x14ac:dyDescent="0.3">
      <c r="A386" s="35">
        <v>244</v>
      </c>
      <c r="L386" s="14" t="s">
        <v>17</v>
      </c>
      <c r="M386" s="47">
        <v>5.7246378999999993E-3</v>
      </c>
      <c r="N386" s="35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>
        <v>244</v>
      </c>
    </row>
    <row r="387" spans="1:36" x14ac:dyDescent="0.3">
      <c r="A387" s="35">
        <v>245</v>
      </c>
      <c r="L387" s="14" t="s">
        <v>17</v>
      </c>
      <c r="M387" s="47">
        <v>4.9003328000000006E-3</v>
      </c>
      <c r="N387" s="35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>
        <v>245</v>
      </c>
    </row>
    <row r="388" spans="1:36" x14ac:dyDescent="0.3">
      <c r="A388" s="35">
        <v>246</v>
      </c>
      <c r="L388" s="14" t="s">
        <v>17</v>
      </c>
      <c r="M388" s="47">
        <v>4.1873921000000003E-3</v>
      </c>
      <c r="N388" s="35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>
        <v>246</v>
      </c>
    </row>
    <row r="389" spans="1:36" x14ac:dyDescent="0.3">
      <c r="A389" s="35">
        <v>247</v>
      </c>
      <c r="L389" s="14" t="s">
        <v>17</v>
      </c>
      <c r="M389" s="47">
        <v>3.5702087999999999E-3</v>
      </c>
      <c r="N389" s="35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>
        <v>247</v>
      </c>
    </row>
    <row r="390" spans="1:36" x14ac:dyDescent="0.3">
      <c r="A390" s="35">
        <v>248</v>
      </c>
      <c r="L390" s="14" t="s">
        <v>17</v>
      </c>
      <c r="M390" s="47">
        <v>3.0406807999999999E-3</v>
      </c>
      <c r="N390" s="35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>
        <v>248</v>
      </c>
    </row>
    <row r="391" spans="1:36" x14ac:dyDescent="0.3">
      <c r="A391" s="35">
        <v>249</v>
      </c>
      <c r="L391" s="14" t="s">
        <v>17</v>
      </c>
      <c r="M391" s="47">
        <v>2.5837130000000001E-3</v>
      </c>
      <c r="N391" s="35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>
        <v>249</v>
      </c>
    </row>
    <row r="392" spans="1:36" x14ac:dyDescent="0.3">
      <c r="A392" s="35">
        <v>250</v>
      </c>
      <c r="L392" s="14" t="s">
        <v>17</v>
      </c>
      <c r="M392" s="47">
        <v>2.1919036E-3</v>
      </c>
      <c r="N392" s="35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>
        <v>250</v>
      </c>
    </row>
    <row r="393" spans="1:36" x14ac:dyDescent="0.3">
      <c r="A393" s="35">
        <v>251</v>
      </c>
      <c r="L393" s="14" t="s">
        <v>17</v>
      </c>
      <c r="M393" s="47">
        <v>1.8550697E-3</v>
      </c>
      <c r="N393" s="35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>
        <v>251</v>
      </c>
    </row>
    <row r="394" spans="1:36" x14ac:dyDescent="0.3">
      <c r="A394" s="35">
        <v>252</v>
      </c>
      <c r="L394" s="14" t="s">
        <v>17</v>
      </c>
      <c r="M394" s="47">
        <v>1.568496E-3</v>
      </c>
      <c r="N394" s="35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>
        <v>252</v>
      </c>
    </row>
    <row r="395" spans="1:36" x14ac:dyDescent="0.3">
      <c r="A395" s="35">
        <v>253</v>
      </c>
      <c r="L395" s="14" t="s">
        <v>17</v>
      </c>
      <c r="M395" s="47">
        <v>1.3223745999999998E-3</v>
      </c>
      <c r="N395" s="35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>
        <v>253</v>
      </c>
    </row>
    <row r="396" spans="1:36" x14ac:dyDescent="0.3">
      <c r="A396" s="35">
        <v>254</v>
      </c>
      <c r="L396" s="14" t="s">
        <v>17</v>
      </c>
      <c r="M396" s="47">
        <v>1.1131679000000001E-3</v>
      </c>
      <c r="N396" s="35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>
        <v>254</v>
      </c>
    </row>
    <row r="397" spans="1:36" x14ac:dyDescent="0.3">
      <c r="A397" s="35">
        <v>255</v>
      </c>
      <c r="L397" s="17" t="s">
        <v>45</v>
      </c>
      <c r="M397" s="47">
        <v>9.3584800000000008E-4</v>
      </c>
      <c r="N397" s="35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>
        <v>255</v>
      </c>
    </row>
    <row r="398" spans="1:36" x14ac:dyDescent="0.3">
      <c r="A398" s="35">
        <v>256</v>
      </c>
      <c r="L398" s="17" t="s">
        <v>45</v>
      </c>
      <c r="M398" s="47">
        <v>7.8530200000000009E-4</v>
      </c>
      <c r="N398" s="35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>
        <v>256</v>
      </c>
    </row>
    <row r="399" spans="1:36" x14ac:dyDescent="0.3">
      <c r="A399" s="35">
        <v>257</v>
      </c>
      <c r="L399" s="17" t="s">
        <v>45</v>
      </c>
      <c r="M399" s="47">
        <v>6.5776630000000005E-4</v>
      </c>
      <c r="N399" s="35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>
        <v>257</v>
      </c>
    </row>
    <row r="400" spans="1:36" x14ac:dyDescent="0.3">
      <c r="A400" s="35">
        <v>258</v>
      </c>
      <c r="L400" s="17" t="s">
        <v>45</v>
      </c>
      <c r="M400" s="47">
        <v>5.4966839999999993E-4</v>
      </c>
      <c r="N400" s="35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>
        <v>258</v>
      </c>
    </row>
    <row r="401" spans="1:36" x14ac:dyDescent="0.3">
      <c r="A401" s="35">
        <v>259</v>
      </c>
      <c r="L401" s="17" t="s">
        <v>45</v>
      </c>
      <c r="M401" s="47">
        <v>4.5876760000000005E-4</v>
      </c>
      <c r="N401" s="35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>
        <v>259</v>
      </c>
    </row>
    <row r="402" spans="1:36" x14ac:dyDescent="0.3">
      <c r="A402" s="35">
        <v>260</v>
      </c>
      <c r="L402" s="17" t="s">
        <v>45</v>
      </c>
      <c r="M402" s="47">
        <v>3.8191849999999998E-4</v>
      </c>
      <c r="N402" s="35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>
        <v>260</v>
      </c>
    </row>
    <row r="403" spans="1:36" x14ac:dyDescent="0.3">
      <c r="A403" s="35">
        <v>261</v>
      </c>
      <c r="L403" s="17" t="s">
        <v>45</v>
      </c>
      <c r="M403" s="47">
        <v>3.1740190000000001E-4</v>
      </c>
      <c r="N403" s="35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>
        <v>261</v>
      </c>
    </row>
    <row r="404" spans="1:36" x14ac:dyDescent="0.3">
      <c r="A404" s="35">
        <v>262</v>
      </c>
      <c r="L404" s="17" t="s">
        <v>45</v>
      </c>
      <c r="M404" s="47">
        <v>2.6351820000000003E-4</v>
      </c>
      <c r="N404" s="35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>
        <v>262</v>
      </c>
    </row>
    <row r="405" spans="1:36" x14ac:dyDescent="0.3">
      <c r="A405" s="35">
        <v>263</v>
      </c>
      <c r="L405" s="17" t="s">
        <v>45</v>
      </c>
      <c r="M405" s="47">
        <v>2.1846810000000002E-4</v>
      </c>
      <c r="N405" s="35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>
        <v>263</v>
      </c>
    </row>
    <row r="406" spans="1:36" x14ac:dyDescent="0.3">
      <c r="A406" s="35">
        <v>264</v>
      </c>
      <c r="L406" s="17" t="s">
        <v>45</v>
      </c>
      <c r="M406" s="47">
        <v>1.8039289999999999E-4</v>
      </c>
      <c r="N406" s="35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>
        <v>264</v>
      </c>
    </row>
    <row r="407" spans="1:36" x14ac:dyDescent="0.3">
      <c r="A407" s="35">
        <v>265</v>
      </c>
      <c r="L407" s="17" t="s">
        <v>45</v>
      </c>
      <c r="M407" s="47">
        <v>1.4897130000000001E-4</v>
      </c>
      <c r="N407" s="35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>
        <v>265</v>
      </c>
    </row>
    <row r="408" spans="1:36" x14ac:dyDescent="0.3">
      <c r="A408" s="35">
        <v>266</v>
      </c>
      <c r="L408" s="17" t="s">
        <v>45</v>
      </c>
      <c r="M408" s="47">
        <v>1.2277229999999999E-4</v>
      </c>
      <c r="N408" s="35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>
        <v>266</v>
      </c>
    </row>
    <row r="409" spans="1:36" x14ac:dyDescent="0.3">
      <c r="A409" s="35">
        <v>267</v>
      </c>
      <c r="L409" s="17" t="s">
        <v>45</v>
      </c>
      <c r="M409" s="47">
        <v>1.01054E-4</v>
      </c>
      <c r="N409" s="35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>
        <v>267</v>
      </c>
    </row>
    <row r="410" spans="1:36" x14ac:dyDescent="0.3">
      <c r="A410" s="35">
        <v>268</v>
      </c>
      <c r="L410" s="18" t="s">
        <v>44</v>
      </c>
      <c r="M410" s="47">
        <v>8.2869000000000009E-5</v>
      </c>
      <c r="N410" s="35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>
        <v>268</v>
      </c>
    </row>
    <row r="411" spans="1:36" x14ac:dyDescent="0.3">
      <c r="A411" s="35">
        <v>269</v>
      </c>
      <c r="L411" s="18" t="s">
        <v>44</v>
      </c>
      <c r="M411" s="47">
        <v>6.7858700000000008E-5</v>
      </c>
      <c r="N411" s="35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>
        <v>269</v>
      </c>
    </row>
    <row r="412" spans="1:36" x14ac:dyDescent="0.3">
      <c r="A412" s="35">
        <v>270</v>
      </c>
      <c r="L412" s="18" t="s">
        <v>44</v>
      </c>
      <c r="M412" s="47">
        <v>5.5530500000000006E-5</v>
      </c>
      <c r="N412" s="35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>
        <v>270</v>
      </c>
    </row>
    <row r="413" spans="1:36" x14ac:dyDescent="0.3">
      <c r="A413" s="35">
        <v>271</v>
      </c>
      <c r="L413" s="18" t="s">
        <v>44</v>
      </c>
      <c r="M413" s="47">
        <v>4.5361699999999996E-5</v>
      </c>
      <c r="N413" s="35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>
        <v>271</v>
      </c>
    </row>
    <row r="414" spans="1:36" x14ac:dyDescent="0.3">
      <c r="A414" s="35">
        <v>272</v>
      </c>
      <c r="L414" s="18" t="s">
        <v>44</v>
      </c>
      <c r="M414" s="47">
        <v>3.6974799999999997E-5</v>
      </c>
      <c r="N414" s="35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>
        <v>272</v>
      </c>
    </row>
    <row r="415" spans="1:36" x14ac:dyDescent="0.3">
      <c r="A415" s="35">
        <v>273</v>
      </c>
      <c r="L415" s="18" t="s">
        <v>44</v>
      </c>
      <c r="M415" s="47">
        <v>2.9989700000000002E-5</v>
      </c>
      <c r="N415" s="35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>
        <v>273</v>
      </c>
    </row>
    <row r="416" spans="1:36" x14ac:dyDescent="0.3">
      <c r="A416" s="35">
        <v>274</v>
      </c>
      <c r="L416" s="18" t="s">
        <v>44</v>
      </c>
      <c r="M416" s="47">
        <v>2.4400200000000001E-5</v>
      </c>
      <c r="N416" s="35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>
        <v>274</v>
      </c>
    </row>
    <row r="417" spans="1:36" x14ac:dyDescent="0.3">
      <c r="A417" s="35">
        <v>275</v>
      </c>
      <c r="L417" s="18" t="s">
        <v>44</v>
      </c>
      <c r="M417" s="47">
        <v>1.97627E-5</v>
      </c>
      <c r="N417" s="35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>
        <v>275</v>
      </c>
    </row>
    <row r="418" spans="1:36" x14ac:dyDescent="0.3">
      <c r="A418" s="35">
        <v>276</v>
      </c>
      <c r="L418" s="18" t="s">
        <v>44</v>
      </c>
      <c r="M418" s="47">
        <v>1.5941299999999999E-5</v>
      </c>
      <c r="N418" s="35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>
        <v>276</v>
      </c>
    </row>
    <row r="419" spans="1:36" x14ac:dyDescent="0.3">
      <c r="A419" s="35">
        <v>277</v>
      </c>
      <c r="L419" s="18" t="s">
        <v>44</v>
      </c>
      <c r="M419" s="47">
        <v>1.29044E-5</v>
      </c>
      <c r="N419" s="35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>
        <v>277</v>
      </c>
    </row>
    <row r="420" spans="1:36" x14ac:dyDescent="0.3">
      <c r="A420" s="35">
        <v>278</v>
      </c>
      <c r="L420" s="18" t="s">
        <v>44</v>
      </c>
      <c r="M420" s="47">
        <v>1.0351599999999999E-5</v>
      </c>
      <c r="N420" s="35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>
        <v>278</v>
      </c>
    </row>
    <row r="421" spans="1:36" x14ac:dyDescent="0.3">
      <c r="A421" s="35">
        <v>279</v>
      </c>
      <c r="L421" s="63" t="s">
        <v>48</v>
      </c>
      <c r="M421" s="47">
        <v>8.3876000000000008E-6</v>
      </c>
      <c r="N421" s="35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>
        <v>279</v>
      </c>
    </row>
    <row r="422" spans="1:36" x14ac:dyDescent="0.3">
      <c r="A422" s="35">
        <v>280</v>
      </c>
      <c r="L422" s="63" t="s">
        <v>48</v>
      </c>
      <c r="M422" s="47">
        <v>6.7121999999999999E-6</v>
      </c>
      <c r="N422" s="35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>
        <v>280</v>
      </c>
    </row>
    <row r="423" spans="1:36" x14ac:dyDescent="0.3">
      <c r="A423" s="35">
        <v>281</v>
      </c>
      <c r="L423" s="63" t="s">
        <v>48</v>
      </c>
      <c r="M423" s="47">
        <v>5.4063000000000002E-6</v>
      </c>
      <c r="N423" s="35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>
        <v>281</v>
      </c>
    </row>
    <row r="424" spans="1:36" x14ac:dyDescent="0.3">
      <c r="A424" s="35">
        <v>282</v>
      </c>
      <c r="L424" s="63" t="s">
        <v>48</v>
      </c>
      <c r="M424" s="47">
        <v>4.3521999999999996E-6</v>
      </c>
      <c r="N424" s="35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>
        <v>282</v>
      </c>
    </row>
    <row r="425" spans="1:36" x14ac:dyDescent="0.3">
      <c r="A425" s="35">
        <v>283</v>
      </c>
      <c r="L425" s="63" t="s">
        <v>48</v>
      </c>
      <c r="M425" s="47">
        <v>3.4346000000000001E-6</v>
      </c>
      <c r="N425" s="35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>
        <v>283</v>
      </c>
    </row>
    <row r="426" spans="1:36" x14ac:dyDescent="0.3">
      <c r="A426" s="35">
        <v>284</v>
      </c>
      <c r="L426" s="63" t="s">
        <v>48</v>
      </c>
      <c r="M426" s="47">
        <v>2.7881E-6</v>
      </c>
      <c r="N426" s="35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>
        <v>284</v>
      </c>
    </row>
    <row r="427" spans="1:36" x14ac:dyDescent="0.3">
      <c r="A427" s="35">
        <v>285</v>
      </c>
      <c r="L427" s="63" t="s">
        <v>48</v>
      </c>
      <c r="M427" s="47">
        <v>2.1741000000000001E-6</v>
      </c>
      <c r="N427" s="35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>
        <v>285</v>
      </c>
    </row>
    <row r="428" spans="1:36" x14ac:dyDescent="0.3">
      <c r="A428" s="35">
        <v>286</v>
      </c>
      <c r="L428" s="63" t="s">
        <v>48</v>
      </c>
      <c r="M428" s="47">
        <v>1.7450999999999998E-6</v>
      </c>
      <c r="N428" s="35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>
        <v>286</v>
      </c>
    </row>
    <row r="429" spans="1:36" x14ac:dyDescent="0.3">
      <c r="A429" s="35">
        <v>287</v>
      </c>
      <c r="L429" s="63" t="s">
        <v>48</v>
      </c>
      <c r="M429" s="47">
        <v>1.3895E-6</v>
      </c>
      <c r="N429" s="35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>
        <v>287</v>
      </c>
    </row>
    <row r="430" spans="1:36" x14ac:dyDescent="0.3">
      <c r="A430" s="35">
        <v>288</v>
      </c>
      <c r="L430" s="63" t="s">
        <v>48</v>
      </c>
      <c r="M430" s="47">
        <v>1.1041999999999999E-6</v>
      </c>
      <c r="N430" s="35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>
        <v>288</v>
      </c>
    </row>
  </sheetData>
  <mergeCells count="133">
    <mergeCell ref="R40:S40"/>
    <mergeCell ref="Z69:AA69"/>
    <mergeCell ref="Z70:AA70"/>
    <mergeCell ref="Z71:AA71"/>
    <mergeCell ref="X29:Y29"/>
    <mergeCell ref="X30:Y30"/>
    <mergeCell ref="X31:Y31"/>
    <mergeCell ref="X32:Y32"/>
    <mergeCell ref="X34:Y34"/>
    <mergeCell ref="X35:Y35"/>
    <mergeCell ref="R33:S33"/>
    <mergeCell ref="X33:Y33"/>
    <mergeCell ref="R37:S37"/>
    <mergeCell ref="R29:S29"/>
    <mergeCell ref="R30:S30"/>
    <mergeCell ref="R31:S31"/>
    <mergeCell ref="R32:S32"/>
    <mergeCell ref="R34:S34"/>
    <mergeCell ref="R35:S35"/>
    <mergeCell ref="R36:S36"/>
    <mergeCell ref="R38:S38"/>
    <mergeCell ref="R39:S39"/>
    <mergeCell ref="AA118:AC118"/>
    <mergeCell ref="Z86:AA86"/>
    <mergeCell ref="Z76:AA76"/>
    <mergeCell ref="Z77:AA77"/>
    <mergeCell ref="Z78:AA78"/>
    <mergeCell ref="Z72:AA72"/>
    <mergeCell ref="Z73:AA73"/>
    <mergeCell ref="Z74:AA74"/>
    <mergeCell ref="Z75:AA75"/>
    <mergeCell ref="Z79:AA79"/>
    <mergeCell ref="Z80:AA80"/>
    <mergeCell ref="Z81:AA81"/>
    <mergeCell ref="Z82:AA82"/>
    <mergeCell ref="Z83:AA83"/>
    <mergeCell ref="Z84:AA84"/>
    <mergeCell ref="Z85:AA85"/>
    <mergeCell ref="AA98:AC98"/>
    <mergeCell ref="AA107:AC107"/>
    <mergeCell ref="AA108:AC108"/>
    <mergeCell ref="Z87:AA87"/>
    <mergeCell ref="Z88:AA88"/>
    <mergeCell ref="Z94:AA94"/>
    <mergeCell ref="AD111:AF111"/>
    <mergeCell ref="AD110:AF110"/>
    <mergeCell ref="AD108:AF108"/>
    <mergeCell ref="AD109:AF109"/>
    <mergeCell ref="AD107:AF107"/>
    <mergeCell ref="AD117:AF117"/>
    <mergeCell ref="Z62:AA62"/>
    <mergeCell ref="Z67:AA67"/>
    <mergeCell ref="Z68:AA68"/>
    <mergeCell ref="Z66:AA66"/>
    <mergeCell ref="Z96:AA96"/>
    <mergeCell ref="AA113:AC113"/>
    <mergeCell ref="AA114:AC114"/>
    <mergeCell ref="AA115:AC115"/>
    <mergeCell ref="AA111:AC111"/>
    <mergeCell ref="AA112:AC112"/>
    <mergeCell ref="AA109:AC109"/>
    <mergeCell ref="AA116:AC116"/>
    <mergeCell ref="AA117:AC117"/>
    <mergeCell ref="AD98:AF98"/>
    <mergeCell ref="AF41:AI41"/>
    <mergeCell ref="Z43:AE43"/>
    <mergeCell ref="AF38:AI38"/>
    <mergeCell ref="AF40:AI40"/>
    <mergeCell ref="Z41:AE41"/>
    <mergeCell ref="Z57:AA57"/>
    <mergeCell ref="Z55:AA55"/>
    <mergeCell ref="Z46:AA46"/>
    <mergeCell ref="AF45:AI45"/>
    <mergeCell ref="Z47:AA47"/>
    <mergeCell ref="Z45:AE45"/>
    <mergeCell ref="Z56:AA56"/>
    <mergeCell ref="AF42:AI42"/>
    <mergeCell ref="AF43:AI43"/>
    <mergeCell ref="AF44:AI44"/>
    <mergeCell ref="Z44:AE44"/>
    <mergeCell ref="Z48:AA48"/>
    <mergeCell ref="Z49:AA49"/>
    <mergeCell ref="Z50:AA50"/>
    <mergeCell ref="Z52:AA52"/>
    <mergeCell ref="Z53:AA53"/>
    <mergeCell ref="AG98:AI98"/>
    <mergeCell ref="X36:Y36"/>
    <mergeCell ref="Z89:AA89"/>
    <mergeCell ref="Z90:AA90"/>
    <mergeCell ref="Z91:AA91"/>
    <mergeCell ref="Z95:AA95"/>
    <mergeCell ref="Z92:AA92"/>
    <mergeCell ref="Z93:AA93"/>
    <mergeCell ref="Z51:AA51"/>
    <mergeCell ref="Z54:AA54"/>
    <mergeCell ref="Z42:AE42"/>
    <mergeCell ref="Z58:AA58"/>
    <mergeCell ref="Z59:AA59"/>
    <mergeCell ref="Z60:AA60"/>
    <mergeCell ref="Z61:AA61"/>
    <mergeCell ref="Z63:AA63"/>
    <mergeCell ref="Z64:AA64"/>
    <mergeCell ref="Z65:AA65"/>
    <mergeCell ref="X37:Y37"/>
    <mergeCell ref="X38:Y38"/>
    <mergeCell ref="X39:Y39"/>
    <mergeCell ref="X40:Y40"/>
    <mergeCell ref="AF37:AI37"/>
    <mergeCell ref="AF39:AI39"/>
    <mergeCell ref="AA119:AC119"/>
    <mergeCell ref="AA120:AC120"/>
    <mergeCell ref="AA121:AC121"/>
    <mergeCell ref="AA122:AC122"/>
    <mergeCell ref="AA123:AC123"/>
    <mergeCell ref="AD118:AF118"/>
    <mergeCell ref="AG116:AI116"/>
    <mergeCell ref="AG107:AI107"/>
    <mergeCell ref="AG110:AI110"/>
    <mergeCell ref="AG108:AI108"/>
    <mergeCell ref="AG109:AI109"/>
    <mergeCell ref="AG111:AI111"/>
    <mergeCell ref="AG112:AI112"/>
    <mergeCell ref="AD113:AF113"/>
    <mergeCell ref="AG113:AI113"/>
    <mergeCell ref="AD114:AF114"/>
    <mergeCell ref="AG114:AI114"/>
    <mergeCell ref="AG115:AI115"/>
    <mergeCell ref="AD115:AF115"/>
    <mergeCell ref="AD116:AF116"/>
    <mergeCell ref="AG117:AI117"/>
    <mergeCell ref="AG118:AI118"/>
    <mergeCell ref="AA110:AC110"/>
    <mergeCell ref="AD112:AF112"/>
  </mergeCells>
  <phoneticPr fontId="1" type="noConversion"/>
  <conditionalFormatting sqref="C1:K1048576 AL1:AO1048576">
    <cfRule type="expression" dxfId="10" priority="58">
      <formula>AND(C1&lt;&gt;"",C1=B1)</formula>
    </cfRule>
  </conditionalFormatting>
  <conditionalFormatting sqref="Z47:AA9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47:AD8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{3221B75F-827A-4889-8F40-4248E5909049}</x14:id>
        </ext>
      </extLst>
    </cfRule>
  </conditionalFormatting>
  <conditionalFormatting sqref="O279:X313">
    <cfRule type="timePeriod" dxfId="9" priority="15" timePeriod="thisMonth">
      <formula>AND(MONTH(O279)=MONTH(TODAY()),YEAR(O279)=YEAR(TODAY()))</formula>
    </cfRule>
    <cfRule type="timePeriod" dxfId="8" priority="16" timePeriod="lastMonth">
      <formula>AND(MONTH(O279)=MONTH(EDATE(TODAY(),0-1)),YEAR(O279)=YEAR(EDATE(TODAY(),0-1)))</formula>
    </cfRule>
    <cfRule type="expression" dxfId="7" priority="17">
      <formula>YEAR(O279)=YEAR(NOW())</formula>
    </cfRule>
  </conditionalFormatting>
  <conditionalFormatting sqref="R30:X40">
    <cfRule type="containsText" dxfId="6" priority="8" operator="containsText" text="外星人">
      <formula>NOT(ISERROR(SEARCH("外星人",R30)))</formula>
    </cfRule>
    <cfRule type="containsText" dxfId="5" priority="9" operator="containsText" text="大雷帝">
      <formula>NOT(ISERROR(SEARCH("大雷帝",R30)))</formula>
    </cfRule>
    <cfRule type="containsText" dxfId="4" priority="10" operator="containsText" text="小雷帝">
      <formula>NOT(ISERROR(SEARCH("小雷帝",R30)))</formula>
    </cfRule>
    <cfRule type="containsText" dxfId="3" priority="11" operator="containsText" text="大雷圣">
      <formula>NOT(ISERROR(SEARCH("大雷圣",R30)))</formula>
    </cfRule>
    <cfRule type="containsText" dxfId="2" priority="12" operator="containsText" text="小雷圣">
      <formula>NOT(ISERROR(SEARCH("小雷圣",R30)))</formula>
    </cfRule>
    <cfRule type="containsText" dxfId="1" priority="13" operator="containsText" text="大雷神">
      <formula>NOT(ISERROR(SEARCH("大雷神",R30)))</formula>
    </cfRule>
    <cfRule type="containsText" dxfId="0" priority="14" operator="containsText" text="小雷神">
      <formula>NOT(ISERROR(SEARCH("小雷神",R30)))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21B75F-827A-4889-8F40-4248E59090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AD47:AD87</xm:sqref>
        </x14:conditionalFormatting>
      </x14:conditionalFormattings>
    </ext>
  </extLst>
</worksheet>
</file>

<file path=customUI/customUI.xml><?xml version="1.0" encoding="utf-8"?>
<customUI xmlns="http://schemas.microsoft.com/office/2006/01/customui">
  <ribbon startFromScratch="false">
    <tabs>
      <tab id="tab1" label="JSD" insertBeforeMso="TabHome">
        <group id="group1" label="常规统计">
          <button id="button1" size="large" label="双修" imageMso="ChartLayoutGallery" screentip="Flag and NF" supertip="Click to run" onAction="dual"/>
          <button id="button2" size="large" label="盲扫" imageMso="ChartLayoutGallery" screentip="Only NF" supertip="Click to run" onAction="nfmode"/>
          <button id="button3" size="large" label="飞标" imageMso="ChartLayoutGallery" screentip="Only Flag" supertip="Click to run" onAction="flmode"/>
        </group>
        <group id="group2" label="胜率分析">
          <button id="button4" size="large" label="胜率分析" imageMso="FunctionsTextInsertGallery" screentip="WinRate" supertip="Click to run" onAction="winrate"/>
          <button id="button5" size="large" label="胜率+双修" imageMso="FunctionsTextInsertGallery" screentip="W+D" supertip="Click to run" onAction="winrated"/>
          <button id="button6" size="large" label="胜率+盲扫" imageMso="FunctionsTextInsertGallery" screentip="W+NF" supertip="Click to run" onAction="winratenf"/>
          <button id="button7" size="large" label="胜率+飞标" imageMso="FunctionsTextInsertGallery" screentip="W+FL" supertip="Click to run" onAction="winratefl"/>
        </group>
        <group id="group3" label="控制">
          <button id="button8" size="large" label="下沉" imageMso="FunctionsTextInsertGallery" screentip="👇" supertip="Click to run" onAction="mvdow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Set</vt:lpstr>
      <vt:lpstr>win</vt:lpstr>
      <vt:lpstr>B.b</vt:lpstr>
      <vt:lpstr>B.i</vt:lpstr>
      <vt:lpstr>B.e</vt:lpstr>
      <vt:lpstr>week</vt:lpstr>
      <vt:lpstr>lsf</vt:lpstr>
      <vt:lpstr>Beg</vt:lpstr>
      <vt:lpstr>Int</vt:lpstr>
      <vt:lpstr>Exp</vt:lpstr>
      <vt:lpstr>Year</vt:lpstr>
      <vt:lpstr>rAvg</vt:lpstr>
      <vt:lpstr>yTop</vt:lpstr>
      <vt:lpstr>mTop</vt:lpstr>
      <vt:lpstr>Sub</vt:lpstr>
      <vt:lpstr>time</vt:lpstr>
      <vt:lpstr>bvs</vt:lpstr>
      <vt:lpstr>qg</vt:lpstr>
      <vt:lpstr>ces</vt:lpstr>
      <vt:lpstr>oth</vt:lpstr>
      <vt:lpstr>Bv</vt:lpstr>
      <vt:lpstr>GC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徐 安</cp:lastModifiedBy>
  <dcterms:created xsi:type="dcterms:W3CDTF">2006-09-16T00:00:00Z</dcterms:created>
  <dcterms:modified xsi:type="dcterms:W3CDTF">2025-06-02T12:09:46Z</dcterms:modified>
</cp:coreProperties>
</file>